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excel project\"/>
    </mc:Choice>
  </mc:AlternateContent>
  <xr:revisionPtr revIDLastSave="0" documentId="13_ncr:1_{7BD46746-C8C8-4288-A6F0-180E6B2147D1}" xr6:coauthVersionLast="47" xr6:coauthVersionMax="47" xr10:uidLastSave="{00000000-0000-0000-0000-000000000000}"/>
  <bookViews>
    <workbookView xWindow="-110" yWindow="-110" windowWidth="19420" windowHeight="10420" firstSheet="2" activeTab="3" xr2:uid="{F25D0894-1078-4E87-9D29-5214FB032AA2}"/>
  </bookViews>
  <sheets>
    <sheet name="raw data" sheetId="1" r:id="rId1"/>
    <sheet name="analysis" sheetId="2" r:id="rId2"/>
    <sheet name="visualizations" sheetId="3" r:id="rId3"/>
    <sheet name="Dashboard1" sheetId="5" r:id="rId4"/>
  </sheets>
  <definedNames>
    <definedName name="NativeTimeline_Date">#N/A</definedName>
    <definedName name="qty">analysis!$Q$4</definedName>
    <definedName name="Slicer_Product_Name">#N/A</definedName>
    <definedName name="Slicer_Region">#N/A</definedName>
    <definedName name="total">analysis!$Q$7</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3" i="2" l="1"/>
  <c r="AI5" i="2" s="1"/>
  <c r="AM5" i="2" s="1"/>
  <c r="AH3" i="2"/>
  <c r="AJ5" i="2" s="1"/>
  <c r="AK11" i="2"/>
  <c r="AJ3" i="2"/>
  <c r="AI3" i="2"/>
  <c r="AM3" i="2" s="1"/>
  <c r="AK12" i="2"/>
  <c r="AJ4" i="2" l="1"/>
  <c r="AI4" i="2"/>
  <c r="AM4" i="2" s="1"/>
  <c r="AN3" i="2" s="1"/>
  <c r="AK3" i="2"/>
  <c r="AK4" i="2"/>
  <c r="AK5" i="2"/>
  <c r="AL3" i="2" l="1"/>
  <c r="AH11" i="2" s="1"/>
  <c r="AH12" i="2" l="1"/>
  <c r="AE4" i="2" s="1"/>
  <c r="AE5" i="2"/>
  <c r="AE7" i="2" l="1"/>
  <c r="AE3" i="2"/>
  <c r="AE6" i="2"/>
  <c r="BB2" i="2"/>
  <c r="S3" i="3" s="1"/>
  <c r="S5" i="3" s="1"/>
  <c r="S6" i="3" s="1"/>
  <c r="BA2" i="2" a="1"/>
  <c r="BA2" i="2" s="1"/>
  <c r="AZ2" i="2" a="1"/>
  <c r="AZ2" i="2" s="1"/>
  <c r="Q10" i="2"/>
  <c r="Q12" i="2" s="1"/>
  <c r="Q14" i="2" s="1"/>
  <c r="Q3" i="2"/>
  <c r="Q5" i="2" s="1"/>
  <c r="Q7" i="2" s="1"/>
  <c r="S2" i="2" l="1"/>
  <c r="U2" i="2" s="1"/>
  <c r="W2" i="2"/>
  <c r="AR3" i="2" a="1"/>
  <c r="AR3" i="2" s="1"/>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 i="2"/>
  <c r="AY2" i="2" a="1"/>
  <c r="AY2" i="2" s="1"/>
  <c r="S227" i="2"/>
  <c r="U227" i="2" s="1"/>
  <c r="AU3" i="2" a="1"/>
  <c r="AU3" i="2" s="1"/>
  <c r="AW3" i="2" s="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 i="2"/>
  <c r="AP3" i="2" a="1"/>
  <c r="AP3" i="2" s="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T3" i="2"/>
  <c r="T2" i="2"/>
  <c r="S4" i="2"/>
  <c r="U4" i="2" s="1"/>
  <c r="S5" i="2"/>
  <c r="U5" i="2" s="1"/>
  <c r="S6" i="2"/>
  <c r="U6" i="2" s="1"/>
  <c r="S7" i="2"/>
  <c r="U7" i="2" s="1"/>
  <c r="S8" i="2"/>
  <c r="U8" i="2" s="1"/>
  <c r="S9" i="2"/>
  <c r="U9" i="2" s="1"/>
  <c r="S10" i="2"/>
  <c r="U10" i="2" s="1"/>
  <c r="S11" i="2"/>
  <c r="U11" i="2" s="1"/>
  <c r="S12" i="2"/>
  <c r="U12" i="2" s="1"/>
  <c r="S13" i="2"/>
  <c r="U13" i="2" s="1"/>
  <c r="S14" i="2"/>
  <c r="U14" i="2" s="1"/>
  <c r="S15" i="2"/>
  <c r="U15" i="2" s="1"/>
  <c r="S16" i="2"/>
  <c r="U16" i="2" s="1"/>
  <c r="S17" i="2"/>
  <c r="U17" i="2" s="1"/>
  <c r="S18" i="2"/>
  <c r="U18" i="2" s="1"/>
  <c r="S19" i="2"/>
  <c r="U19" i="2" s="1"/>
  <c r="S20" i="2"/>
  <c r="U20" i="2" s="1"/>
  <c r="S21" i="2"/>
  <c r="U21" i="2" s="1"/>
  <c r="S22" i="2"/>
  <c r="U22" i="2" s="1"/>
  <c r="S23" i="2"/>
  <c r="U23" i="2" s="1"/>
  <c r="S24" i="2"/>
  <c r="U24" i="2" s="1"/>
  <c r="S25" i="2"/>
  <c r="U25" i="2" s="1"/>
  <c r="S26" i="2"/>
  <c r="U26" i="2" s="1"/>
  <c r="S27" i="2"/>
  <c r="U27" i="2" s="1"/>
  <c r="S28" i="2"/>
  <c r="U28" i="2" s="1"/>
  <c r="S29" i="2"/>
  <c r="U29" i="2" s="1"/>
  <c r="S30" i="2"/>
  <c r="U30" i="2" s="1"/>
  <c r="S31" i="2"/>
  <c r="U31" i="2" s="1"/>
  <c r="S32" i="2"/>
  <c r="U32" i="2" s="1"/>
  <c r="S33" i="2"/>
  <c r="U33" i="2" s="1"/>
  <c r="S34" i="2"/>
  <c r="U34" i="2" s="1"/>
  <c r="S35" i="2"/>
  <c r="U35" i="2" s="1"/>
  <c r="S36" i="2"/>
  <c r="U36" i="2" s="1"/>
  <c r="S37" i="2"/>
  <c r="U37" i="2" s="1"/>
  <c r="S38" i="2"/>
  <c r="U38" i="2" s="1"/>
  <c r="S39" i="2"/>
  <c r="U39" i="2" s="1"/>
  <c r="S40" i="2"/>
  <c r="U40" i="2" s="1"/>
  <c r="S41" i="2"/>
  <c r="U41" i="2" s="1"/>
  <c r="S42" i="2"/>
  <c r="U42" i="2" s="1"/>
  <c r="S43" i="2"/>
  <c r="U43" i="2" s="1"/>
  <c r="S44" i="2"/>
  <c r="U44" i="2" s="1"/>
  <c r="S45" i="2"/>
  <c r="U45" i="2" s="1"/>
  <c r="S46" i="2"/>
  <c r="U46" i="2" s="1"/>
  <c r="S47" i="2"/>
  <c r="U47" i="2" s="1"/>
  <c r="S48" i="2"/>
  <c r="U48" i="2" s="1"/>
  <c r="S49" i="2"/>
  <c r="U49" i="2" s="1"/>
  <c r="S50" i="2"/>
  <c r="U50" i="2" s="1"/>
  <c r="S51" i="2"/>
  <c r="U51" i="2" s="1"/>
  <c r="S52" i="2"/>
  <c r="U52" i="2" s="1"/>
  <c r="S53" i="2"/>
  <c r="U53" i="2" s="1"/>
  <c r="S54" i="2"/>
  <c r="U54" i="2" s="1"/>
  <c r="S55" i="2"/>
  <c r="U55" i="2" s="1"/>
  <c r="S56" i="2"/>
  <c r="U56" i="2" s="1"/>
  <c r="S57" i="2"/>
  <c r="U57" i="2" s="1"/>
  <c r="S58" i="2"/>
  <c r="U58" i="2" s="1"/>
  <c r="S59" i="2"/>
  <c r="U59" i="2" s="1"/>
  <c r="S60" i="2"/>
  <c r="U60" i="2" s="1"/>
  <c r="S61" i="2"/>
  <c r="U61" i="2" s="1"/>
  <c r="S62" i="2"/>
  <c r="U62" i="2" s="1"/>
  <c r="S63" i="2"/>
  <c r="U63" i="2" s="1"/>
  <c r="S64" i="2"/>
  <c r="U64" i="2" s="1"/>
  <c r="S65" i="2"/>
  <c r="U65" i="2" s="1"/>
  <c r="S66" i="2"/>
  <c r="U66" i="2" s="1"/>
  <c r="S67" i="2"/>
  <c r="U67" i="2" s="1"/>
  <c r="S68" i="2"/>
  <c r="U68" i="2" s="1"/>
  <c r="S69" i="2"/>
  <c r="U69" i="2" s="1"/>
  <c r="S70" i="2"/>
  <c r="U70" i="2" s="1"/>
  <c r="S71" i="2"/>
  <c r="U71" i="2" s="1"/>
  <c r="S72" i="2"/>
  <c r="U72" i="2" s="1"/>
  <c r="S73" i="2"/>
  <c r="U73" i="2" s="1"/>
  <c r="S74" i="2"/>
  <c r="U74" i="2" s="1"/>
  <c r="S75" i="2"/>
  <c r="U75" i="2" s="1"/>
  <c r="S76" i="2"/>
  <c r="U76" i="2" s="1"/>
  <c r="S77" i="2"/>
  <c r="U77" i="2" s="1"/>
  <c r="S78" i="2"/>
  <c r="U78" i="2" s="1"/>
  <c r="S79" i="2"/>
  <c r="U79" i="2" s="1"/>
  <c r="S80" i="2"/>
  <c r="U80" i="2" s="1"/>
  <c r="S81" i="2"/>
  <c r="U81" i="2" s="1"/>
  <c r="S82" i="2"/>
  <c r="U82" i="2" s="1"/>
  <c r="S83" i="2"/>
  <c r="U83" i="2" s="1"/>
  <c r="S84" i="2"/>
  <c r="U84" i="2" s="1"/>
  <c r="S85" i="2"/>
  <c r="U85" i="2" s="1"/>
  <c r="S86" i="2"/>
  <c r="U86" i="2" s="1"/>
  <c r="S87" i="2"/>
  <c r="U87" i="2" s="1"/>
  <c r="S88" i="2"/>
  <c r="U88" i="2" s="1"/>
  <c r="S89" i="2"/>
  <c r="U89" i="2" s="1"/>
  <c r="S90" i="2"/>
  <c r="U90" i="2" s="1"/>
  <c r="S91" i="2"/>
  <c r="U91" i="2" s="1"/>
  <c r="S92" i="2"/>
  <c r="U92" i="2" s="1"/>
  <c r="S93" i="2"/>
  <c r="U93" i="2" s="1"/>
  <c r="S94" i="2"/>
  <c r="U94" i="2" s="1"/>
  <c r="S95" i="2"/>
  <c r="U95" i="2" s="1"/>
  <c r="S96" i="2"/>
  <c r="U96" i="2" s="1"/>
  <c r="S97" i="2"/>
  <c r="U97" i="2" s="1"/>
  <c r="S98" i="2"/>
  <c r="U98" i="2" s="1"/>
  <c r="S99" i="2"/>
  <c r="U99" i="2" s="1"/>
  <c r="S100" i="2"/>
  <c r="U100" i="2" s="1"/>
  <c r="S101" i="2"/>
  <c r="U101" i="2" s="1"/>
  <c r="S102" i="2"/>
  <c r="U102" i="2" s="1"/>
  <c r="S103" i="2"/>
  <c r="U103" i="2" s="1"/>
  <c r="S104" i="2"/>
  <c r="U104" i="2" s="1"/>
  <c r="S105" i="2"/>
  <c r="U105" i="2" s="1"/>
  <c r="S106" i="2"/>
  <c r="U106" i="2" s="1"/>
  <c r="S107" i="2"/>
  <c r="U107" i="2" s="1"/>
  <c r="S108" i="2"/>
  <c r="U108" i="2" s="1"/>
  <c r="S109" i="2"/>
  <c r="U109" i="2" s="1"/>
  <c r="S110" i="2"/>
  <c r="U110" i="2" s="1"/>
  <c r="S111" i="2"/>
  <c r="U111" i="2" s="1"/>
  <c r="S112" i="2"/>
  <c r="U112" i="2" s="1"/>
  <c r="S113" i="2"/>
  <c r="U113" i="2" s="1"/>
  <c r="S114" i="2"/>
  <c r="U114" i="2" s="1"/>
  <c r="S115" i="2"/>
  <c r="U115" i="2" s="1"/>
  <c r="S116" i="2"/>
  <c r="U116" i="2" s="1"/>
  <c r="S117" i="2"/>
  <c r="U117" i="2" s="1"/>
  <c r="S118" i="2"/>
  <c r="U118" i="2" s="1"/>
  <c r="S119" i="2"/>
  <c r="U119" i="2" s="1"/>
  <c r="S120" i="2"/>
  <c r="U120" i="2" s="1"/>
  <c r="S121" i="2"/>
  <c r="U121" i="2" s="1"/>
  <c r="S122" i="2"/>
  <c r="U122" i="2" s="1"/>
  <c r="S123" i="2"/>
  <c r="U123" i="2" s="1"/>
  <c r="S124" i="2"/>
  <c r="U124" i="2" s="1"/>
  <c r="S125" i="2"/>
  <c r="U125" i="2" s="1"/>
  <c r="S126" i="2"/>
  <c r="U126" i="2" s="1"/>
  <c r="S127" i="2"/>
  <c r="U127" i="2" s="1"/>
  <c r="S128" i="2"/>
  <c r="U128" i="2" s="1"/>
  <c r="S129" i="2"/>
  <c r="U129" i="2" s="1"/>
  <c r="S130" i="2"/>
  <c r="U130" i="2" s="1"/>
  <c r="S131" i="2"/>
  <c r="U131" i="2" s="1"/>
  <c r="S132" i="2"/>
  <c r="U132" i="2" s="1"/>
  <c r="S133" i="2"/>
  <c r="U133" i="2" s="1"/>
  <c r="S134" i="2"/>
  <c r="U134" i="2" s="1"/>
  <c r="S135" i="2"/>
  <c r="U135" i="2" s="1"/>
  <c r="S136" i="2"/>
  <c r="U136" i="2" s="1"/>
  <c r="S137" i="2"/>
  <c r="U137" i="2" s="1"/>
  <c r="S138" i="2"/>
  <c r="U138" i="2" s="1"/>
  <c r="S139" i="2"/>
  <c r="U139" i="2" s="1"/>
  <c r="S140" i="2"/>
  <c r="U140" i="2" s="1"/>
  <c r="S141" i="2"/>
  <c r="U141" i="2" s="1"/>
  <c r="S142" i="2"/>
  <c r="U142" i="2" s="1"/>
  <c r="S143" i="2"/>
  <c r="U143" i="2" s="1"/>
  <c r="S144" i="2"/>
  <c r="U144" i="2" s="1"/>
  <c r="S145" i="2"/>
  <c r="U145" i="2" s="1"/>
  <c r="S146" i="2"/>
  <c r="U146" i="2" s="1"/>
  <c r="S147" i="2"/>
  <c r="U147" i="2" s="1"/>
  <c r="S148" i="2"/>
  <c r="U148" i="2" s="1"/>
  <c r="S149" i="2"/>
  <c r="U149" i="2" s="1"/>
  <c r="S150" i="2"/>
  <c r="U150" i="2" s="1"/>
  <c r="S151" i="2"/>
  <c r="U151" i="2" s="1"/>
  <c r="S152" i="2"/>
  <c r="U152" i="2" s="1"/>
  <c r="S153" i="2"/>
  <c r="U153" i="2" s="1"/>
  <c r="S154" i="2"/>
  <c r="U154" i="2" s="1"/>
  <c r="S155" i="2"/>
  <c r="U155" i="2" s="1"/>
  <c r="S156" i="2"/>
  <c r="U156" i="2" s="1"/>
  <c r="S157" i="2"/>
  <c r="U157" i="2" s="1"/>
  <c r="S158" i="2"/>
  <c r="U158" i="2" s="1"/>
  <c r="S159" i="2"/>
  <c r="U159" i="2" s="1"/>
  <c r="S160" i="2"/>
  <c r="U160" i="2" s="1"/>
  <c r="S161" i="2"/>
  <c r="U161" i="2" s="1"/>
  <c r="S162" i="2"/>
  <c r="U162" i="2" s="1"/>
  <c r="S163" i="2"/>
  <c r="U163" i="2" s="1"/>
  <c r="S164" i="2"/>
  <c r="U164" i="2" s="1"/>
  <c r="S165" i="2"/>
  <c r="U165" i="2" s="1"/>
  <c r="S166" i="2"/>
  <c r="U166" i="2" s="1"/>
  <c r="S167" i="2"/>
  <c r="U167" i="2" s="1"/>
  <c r="S168" i="2"/>
  <c r="U168" i="2" s="1"/>
  <c r="S169" i="2"/>
  <c r="U169" i="2" s="1"/>
  <c r="S170" i="2"/>
  <c r="U170" i="2" s="1"/>
  <c r="S171" i="2"/>
  <c r="U171" i="2" s="1"/>
  <c r="S172" i="2"/>
  <c r="U172" i="2" s="1"/>
  <c r="S173" i="2"/>
  <c r="U173" i="2" s="1"/>
  <c r="S174" i="2"/>
  <c r="U174" i="2" s="1"/>
  <c r="S175" i="2"/>
  <c r="U175" i="2" s="1"/>
  <c r="S176" i="2"/>
  <c r="U176" i="2" s="1"/>
  <c r="S177" i="2"/>
  <c r="U177" i="2" s="1"/>
  <c r="S178" i="2"/>
  <c r="U178" i="2" s="1"/>
  <c r="S179" i="2"/>
  <c r="U179" i="2" s="1"/>
  <c r="S180" i="2"/>
  <c r="U180" i="2" s="1"/>
  <c r="S181" i="2"/>
  <c r="U181" i="2" s="1"/>
  <c r="S182" i="2"/>
  <c r="U182" i="2" s="1"/>
  <c r="S183" i="2"/>
  <c r="U183" i="2" s="1"/>
  <c r="S184" i="2"/>
  <c r="U184" i="2" s="1"/>
  <c r="S185" i="2"/>
  <c r="U185" i="2" s="1"/>
  <c r="S186" i="2"/>
  <c r="U186" i="2" s="1"/>
  <c r="S187" i="2"/>
  <c r="U187" i="2" s="1"/>
  <c r="S188" i="2"/>
  <c r="U188" i="2" s="1"/>
  <c r="S189" i="2"/>
  <c r="U189" i="2" s="1"/>
  <c r="S190" i="2"/>
  <c r="U190" i="2" s="1"/>
  <c r="S191" i="2"/>
  <c r="U191" i="2" s="1"/>
  <c r="S192" i="2"/>
  <c r="U192" i="2" s="1"/>
  <c r="S193" i="2"/>
  <c r="U193" i="2" s="1"/>
  <c r="S194" i="2"/>
  <c r="U194" i="2" s="1"/>
  <c r="S195" i="2"/>
  <c r="U195" i="2" s="1"/>
  <c r="S196" i="2"/>
  <c r="U196" i="2" s="1"/>
  <c r="S197" i="2"/>
  <c r="U197" i="2" s="1"/>
  <c r="S198" i="2"/>
  <c r="U198" i="2" s="1"/>
  <c r="S199" i="2"/>
  <c r="U199" i="2" s="1"/>
  <c r="S200" i="2"/>
  <c r="U200" i="2" s="1"/>
  <c r="S201" i="2"/>
  <c r="U201" i="2" s="1"/>
  <c r="S202" i="2"/>
  <c r="U202" i="2" s="1"/>
  <c r="S203" i="2"/>
  <c r="U203" i="2" s="1"/>
  <c r="S204" i="2"/>
  <c r="U204" i="2" s="1"/>
  <c r="S205" i="2"/>
  <c r="U205" i="2" s="1"/>
  <c r="S206" i="2"/>
  <c r="U206" i="2" s="1"/>
  <c r="S207" i="2"/>
  <c r="U207" i="2" s="1"/>
  <c r="S208" i="2"/>
  <c r="U208" i="2" s="1"/>
  <c r="S209" i="2"/>
  <c r="U209" i="2" s="1"/>
  <c r="S210" i="2"/>
  <c r="U210" i="2" s="1"/>
  <c r="S211" i="2"/>
  <c r="U211" i="2" s="1"/>
  <c r="S212" i="2"/>
  <c r="U212" i="2" s="1"/>
  <c r="S213" i="2"/>
  <c r="U213" i="2" s="1"/>
  <c r="S214" i="2"/>
  <c r="U214" i="2" s="1"/>
  <c r="S215" i="2"/>
  <c r="U215" i="2" s="1"/>
  <c r="S216" i="2"/>
  <c r="U216" i="2" s="1"/>
  <c r="S217" i="2"/>
  <c r="U217" i="2" s="1"/>
  <c r="S218" i="2"/>
  <c r="U218" i="2" s="1"/>
  <c r="S219" i="2"/>
  <c r="U219" i="2" s="1"/>
  <c r="S220" i="2"/>
  <c r="U220" i="2" s="1"/>
  <c r="S221" i="2"/>
  <c r="U221" i="2" s="1"/>
  <c r="S222" i="2"/>
  <c r="U222" i="2" s="1"/>
  <c r="S223" i="2"/>
  <c r="U223" i="2" s="1"/>
  <c r="S224" i="2"/>
  <c r="U224" i="2" s="1"/>
  <c r="S225" i="2"/>
  <c r="U225" i="2" s="1"/>
  <c r="S226" i="2"/>
  <c r="U226" i="2" s="1"/>
  <c r="S228" i="2"/>
  <c r="U228" i="2" s="1"/>
  <c r="S229" i="2"/>
  <c r="U229" i="2" s="1"/>
  <c r="S230" i="2"/>
  <c r="U230" i="2" s="1"/>
  <c r="S231" i="2"/>
  <c r="U231" i="2" s="1"/>
  <c r="S232" i="2"/>
  <c r="U232" i="2" s="1"/>
  <c r="S233" i="2"/>
  <c r="U233" i="2" s="1"/>
  <c r="S234" i="2"/>
  <c r="U234" i="2" s="1"/>
  <c r="S235" i="2"/>
  <c r="U235" i="2" s="1"/>
  <c r="S236" i="2"/>
  <c r="U236" i="2" s="1"/>
  <c r="S237" i="2"/>
  <c r="U237" i="2" s="1"/>
  <c r="S238" i="2"/>
  <c r="U238" i="2" s="1"/>
  <c r="S239" i="2"/>
  <c r="U239" i="2" s="1"/>
  <c r="S240" i="2"/>
  <c r="U240" i="2" s="1"/>
  <c r="S241" i="2"/>
  <c r="U241" i="2" s="1"/>
  <c r="S242" i="2"/>
  <c r="U242" i="2" s="1"/>
  <c r="S243" i="2"/>
  <c r="U243" i="2" s="1"/>
  <c r="S244" i="2"/>
  <c r="U244" i="2" s="1"/>
  <c r="S245" i="2"/>
  <c r="U245" i="2" s="1"/>
  <c r="S246" i="2"/>
  <c r="U246" i="2" s="1"/>
  <c r="S247" i="2"/>
  <c r="U247" i="2" s="1"/>
  <c r="S248" i="2"/>
  <c r="U248" i="2" s="1"/>
  <c r="S249" i="2"/>
  <c r="U249" i="2" s="1"/>
  <c r="S250" i="2"/>
  <c r="U250" i="2" s="1"/>
  <c r="S251" i="2"/>
  <c r="U251" i="2" s="1"/>
  <c r="S3" i="2"/>
  <c r="U3" i="2" s="1"/>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AW50" i="2" l="1"/>
  <c r="AW46" i="2"/>
  <c r="AW42" i="2"/>
  <c r="AW38" i="2"/>
  <c r="AW34" i="2"/>
  <c r="AW30" i="2"/>
  <c r="AW26" i="2"/>
  <c r="AW22" i="2"/>
  <c r="AW18" i="2"/>
  <c r="AW14" i="2"/>
  <c r="AW10" i="2"/>
  <c r="AW6" i="2"/>
  <c r="AW49" i="2"/>
  <c r="AW45" i="2"/>
  <c r="AW41" i="2"/>
  <c r="AW37" i="2"/>
  <c r="AW33" i="2"/>
  <c r="AW29" i="2"/>
  <c r="AW25" i="2"/>
  <c r="AW21" i="2"/>
  <c r="AW17" i="2"/>
  <c r="AW13" i="2"/>
  <c r="AW9" i="2"/>
  <c r="AW5" i="2"/>
  <c r="AW52" i="2"/>
  <c r="AW48" i="2"/>
  <c r="AW44" i="2"/>
  <c r="AW40" i="2"/>
  <c r="AW36" i="2"/>
  <c r="AW32" i="2"/>
  <c r="AW28" i="2"/>
  <c r="AW24" i="2"/>
  <c r="AW20" i="2"/>
  <c r="AW16" i="2"/>
  <c r="AW12" i="2"/>
  <c r="AW8" i="2"/>
  <c r="AW4" i="2"/>
  <c r="AW51" i="2"/>
  <c r="AW47" i="2"/>
  <c r="AW43" i="2"/>
  <c r="AW39" i="2"/>
  <c r="AW35" i="2"/>
  <c r="AW31" i="2"/>
  <c r="AW27" i="2"/>
  <c r="AW23" i="2"/>
  <c r="AW19" i="2"/>
  <c r="AW15" i="2"/>
  <c r="AW11" i="2"/>
  <c r="AW7"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<sst xmlns="http://schemas.openxmlformats.org/spreadsheetml/2006/main" count="4703" uniqueCount="464">
  <si>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</si>
  <si>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</si>
  <si>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</si>
  <si>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</si>
  <si>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</si>
  <si>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</si>
  <si>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</si>
  <si>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</si>
  <si>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</si>
  <si>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</si>
  <si>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</si>
  <si>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</si>
  <si>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</si>
  <si>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</si>
  <si>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</si>
  <si>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</si>
  <si>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</si>
  <si>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</si>
  <si>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</si>
  <si>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</si>
  <si>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</si>
  <si>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</si>
  <si>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</si>
  <si>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</si>
  <si>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</si>
  <si>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</si>
  <si>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</si>
  <si>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</si>
  <si>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</si>
  <si>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</si>
  <si>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</si>
  <si>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</si>
  <si>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</si>
  <si>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</si>
  <si>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</si>
  <si>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</si>
  <si>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</si>
  <si>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</si>
  <si>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</si>
  <si>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</si>
  <si>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</si>
  <si>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</si>
  <si>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</si>
  <si>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</si>
  <si>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</si>
  <si>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</si>
  <si>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</si>
  <si>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</si>
  <si>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</si>
  <si>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</si>
  <si>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</si>
  <si>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</si>
  <si>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</si>
  <si>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</si>
  <si>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</si>
  <si>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</si>
  <si>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</si>
  <si>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</si>
  <si>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</si>
  <si>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</si>
  <si>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</si>
  <si>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</si>
  <si>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</si>
  <si>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</si>
  <si>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</si>
  <si>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</si>
  <si>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</si>
  <si>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</si>
  <si>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</si>
  <si>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</si>
  <si>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</si>
  <si>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</si>
  <si>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</si>
  <si>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</si>
  <si>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</si>
  <si>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</si>
  <si>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</si>
  <si>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</si>
  <si>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</si>
  <si>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</si>
  <si>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</si>
  <si>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</si>
  <si>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</si>
  <si>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</si>
  <si>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</si>
  <si>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</si>
  <si>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</si>
  <si>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</si>
  <si>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</si>
  <si>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</si>
  <si>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</si>
  <si>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</si>
  <si>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</si>
  <si>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</si>
  <si>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</si>
  <si>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</si>
  <si>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</si>
  <si>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</si>
  <si>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</si>
  <si>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</si>
  <si>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</si>
  <si>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</si>
  <si>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</si>
  <si>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</si>
  <si>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</si>
  <si>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</si>
  <si>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</si>
  <si>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</si>
  <si>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</si>
  <si>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</si>
  <si>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</si>
  <si>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</si>
  <si>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</si>
  <si>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</si>
  <si>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</si>
  <si>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</si>
  <si>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</si>
  <si>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</si>
  <si>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</si>
  <si>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</si>
  <si>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</si>
  <si>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</si>
  <si>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</si>
  <si>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</si>
  <si>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</si>
  <si>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</si>
  <si>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</si>
  <si>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</si>
  <si>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</si>
  <si>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</si>
  <si>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</si>
  <si>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</si>
  <si>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</si>
  <si>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</si>
  <si>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</si>
  <si>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</si>
  <si>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</si>
  <si>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</si>
  <si>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</si>
  <si>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</si>
  <si>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</si>
  <si>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</si>
  <si>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</si>
  <si>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</si>
  <si>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</si>
  <si>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</si>
  <si>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</si>
  <si>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</si>
  <si>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</si>
  <si>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</si>
  <si>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</si>
  <si>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</si>
  <si>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</si>
  <si>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</si>
  <si>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</si>
  <si>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</si>
  <si>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</si>
  <si>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</si>
  <si>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</si>
  <si>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</si>
  <si>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</si>
  <si>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</si>
  <si>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</si>
  <si>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</si>
  <si>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</si>
  <si>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</si>
  <si>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</si>
  <si>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</si>
  <si>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</si>
  <si>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</si>
  <si>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</si>
  <si>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</si>
  <si>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</si>
  <si>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</si>
  <si>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</si>
  <si>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</si>
  <si>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</si>
  <si>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</si>
  <si>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</si>
  <si>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</si>
  <si>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</si>
  <si>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</si>
  <si>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</si>
  <si>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</si>
  <si>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</si>
  <si>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</si>
  <si>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</si>
  <si>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</si>
  <si>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</si>
  <si>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</si>
  <si>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</si>
  <si>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</si>
  <si>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</si>
  <si>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</si>
  <si>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</si>
  <si>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</si>
  <si>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</si>
  <si>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</si>
  <si>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</si>
  <si>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</si>
  <si>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</si>
  <si>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</si>
  <si>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</si>
  <si>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</si>
  <si>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</si>
  <si>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</si>
  <si>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</si>
  <si>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</si>
  <si>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</si>
  <si>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</si>
  <si>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</si>
  <si>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</si>
  <si>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</si>
  <si>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</si>
  <si>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</si>
  <si>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</si>
  <si>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</si>
  <si>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</si>
  <si>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</si>
  <si>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</si>
  <si>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</si>
  <si>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</si>
  <si>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</si>
  <si>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</si>
  <si>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</si>
  <si>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</si>
  <si>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</si>
  <si>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</si>
  <si>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</si>
  <si>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</si>
  <si>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</si>
  <si>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</si>
  <si>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</si>
  <si>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</si>
  <si>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</si>
  <si>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</si>
  <si>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</si>
  <si>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</si>
  <si>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</si>
  <si>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</si>
  <si>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</si>
  <si>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</si>
  <si>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</si>
  <si>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</si>
  <si>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</si>
  <si>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</si>
  <si>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</si>
  <si>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</si>
  <si>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</si>
  <si>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</si>
  <si>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</si>
  <si>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</si>
  <si>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</si>
  <si>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</si>
  <si>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</si>
  <si>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</si>
  <si>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</si>
  <si>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</si>
  <si>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</si>
  <si>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</si>
  <si>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</si>
  <si>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</si>
  <si>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</si>
  <si>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</si>
  <si>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</si>
  <si>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</si>
  <si>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</si>
  <si>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</si>
  <si>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</si>
  <si>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</si>
  <si>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</si>
  <si>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</si>
  <si>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</si>
  <si>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</si>
  <si>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</si>
  <si>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</si>
  <si>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</si>
  <si>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</si>
  <si>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</si>
  <si>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</si>
  <si>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</si>
  <si>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</si>
  <si>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</si>
  <si>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</si>
  <si>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</si>
  <si>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</si>
  <si>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</si>
  <si>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</si>
  <si>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</si>
  <si>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</si>
  <si>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</si>
  <si>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</si>
  <si>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</si>
  <si>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</si>
  <si>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</si>
  <si>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</si>
  <si>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</si>
  <si>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</si>
  <si>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</si>
  <si>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</si>
  <si>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</si>
  <si>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</si>
  <si>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</si>
  <si>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</si>
  <si>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</si>
  <si>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</si>
  <si>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</si>
  <si>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</si>
  <si>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</si>
  <si>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</si>
  <si>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</si>
  <si>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</si>
  <si>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</si>
  <si>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</si>
  <si>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</si>
  <si>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</si>
  <si>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</si>
  <si>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</si>
  <si>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</si>
  <si>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</si>
  <si>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</si>
  <si>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</si>
  <si>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</si>
  <si>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</si>
  <si>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</si>
  <si>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</si>
  <si>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</si>
  <si>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</si>
  <si>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</si>
  <si>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</si>
  <si>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</si>
  <si>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</si>
  <si>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</si>
  <si>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</si>
  <si>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</si>
  <si>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</si>
  <si>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</si>
  <si>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</si>
  <si>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</si>
  <si>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</si>
  <si>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</si>
  <si>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</si>
  <si>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</si>
  <si>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</si>
  <si>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</si>
  <si>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</si>
  <si>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</si>
  <si>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</si>
  <si>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</si>
  <si>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</si>
  <si>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</si>
  <si>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</si>
  <si>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</si>
  <si>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</si>
  <si>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</si>
  <si>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</si>
  <si>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</si>
  <si>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</si>
  <si>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</si>
  <si>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</si>
  <si>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</si>
  <si>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</si>
  <si>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</si>
  <si>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</si>
  <si>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</si>
  <si>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</si>
  <si>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</si>
  <si>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</si>
  <si>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</si>
  <si>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</si>
  <si>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</si>
  <si>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</si>
  <si>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</si>
  <si>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</si>
  <si>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</si>
  <si>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</si>
  <si>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</si>
  <si>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</si>
  <si>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</si>
  <si>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</si>
  <si>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</si>
  <si>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</si>
  <si>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</si>
  <si>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</si>
  <si>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</si>
  <si>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</si>
  <si>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</si>
  <si>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</si>
  <si>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</si>
  <si>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</si>
  <si>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</si>
  <si>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</si>
  <si>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</si>
  <si>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</si>
  <si>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</si>
  <si>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</si>
  <si>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</si>
  <si>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</si>
  <si>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</si>
  <si>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</si>
  <si>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</si>
  <si>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datedif</t>
  </si>
  <si>
    <t>Eomonth</t>
  </si>
  <si>
    <t>filter</t>
  </si>
  <si>
    <t>customer_segment</t>
  </si>
  <si>
    <t>total_amount</t>
  </si>
  <si>
    <t>timestamp</t>
  </si>
  <si>
    <t>Sum of Unit_Price</t>
  </si>
  <si>
    <t>Row Labels</t>
  </si>
  <si>
    <t>Grand Total</t>
  </si>
  <si>
    <t>Sum of Total_Amount</t>
  </si>
  <si>
    <t>unit_price</t>
  </si>
  <si>
    <t>unique</t>
  </si>
  <si>
    <t>name</t>
  </si>
  <si>
    <t>sumif</t>
  </si>
  <si>
    <t>amount</t>
  </si>
  <si>
    <t>top customer</t>
  </si>
  <si>
    <t>best region</t>
  </si>
  <si>
    <t>top sale product</t>
  </si>
  <si>
    <t>short name</t>
  </si>
  <si>
    <t>upper case</t>
  </si>
  <si>
    <t>lowercse</t>
  </si>
  <si>
    <t>what if analysis</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</si>
  <si>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</si>
  <si>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</si>
  <si>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</si>
  <si>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</si>
  <si>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</si>
  <si>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</si>
  <si>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</si>
  <si>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price</t>
  </si>
  <si>
    <t>qty</t>
  </si>
  <si>
    <t>total revenue</t>
  </si>
  <si>
    <t xml:space="preserve">total </t>
  </si>
  <si>
    <t>transport cost</t>
  </si>
  <si>
    <t>10 qty</t>
  </si>
  <si>
    <t>5 qty</t>
  </si>
  <si>
    <t>15 qty</t>
  </si>
  <si>
    <t>total</t>
  </si>
  <si>
    <t>scenario manger</t>
  </si>
  <si>
    <t>goal seek</t>
  </si>
  <si>
    <t>kpis</t>
  </si>
  <si>
    <t>sales</t>
  </si>
  <si>
    <t>actual</t>
  </si>
  <si>
    <t>%complete</t>
  </si>
  <si>
    <t>remainder</t>
  </si>
  <si>
    <t>target</t>
  </si>
  <si>
    <t>X</t>
  </si>
  <si>
    <t>Y</t>
  </si>
  <si>
    <t>Y = mX + c</t>
  </si>
  <si>
    <t>Calculation for Slope &amp; Intercept</t>
  </si>
  <si>
    <t>Estimated Price</t>
  </si>
  <si>
    <t>Mean (of X)</t>
  </si>
  <si>
    <t>Mean (of Y)</t>
  </si>
  <si>
    <t>Deviations (of X)</t>
  </si>
  <si>
    <t>Deviations (of Y)</t>
  </si>
  <si>
    <t>Product of Deviations</t>
  </si>
  <si>
    <t>Sum of Product of Deviations</t>
  </si>
  <si>
    <t>Square of Deviations (of X)</t>
  </si>
  <si>
    <t>Sum of Square of Deviations (of X)</t>
  </si>
  <si>
    <r>
      <t xml:space="preserve">Slope (m) </t>
    </r>
    <r>
      <rPr>
        <sz val="11"/>
        <color theme="1"/>
        <rFont val="Arial"/>
        <family val="2"/>
      </rPr>
      <t>= Sum of Product of Deviations / Sum of Square of deviation for X</t>
    </r>
  </si>
  <si>
    <r>
      <t xml:space="preserve">Intercept (c) </t>
    </r>
    <r>
      <rPr>
        <sz val="11"/>
        <color theme="1"/>
        <rFont val="Arial"/>
        <family val="2"/>
      </rPr>
      <t>= Mean of Y - (m * Mean of X)</t>
    </r>
  </si>
  <si>
    <t>Slope (m) =</t>
  </si>
  <si>
    <t>Intercept (c)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</si>
</sst>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70" formatCode="0.0"/>
    <numFmt numFmtId="187" formatCode="0.0%"/>
    <numFmt numFmtId="188" formatCode="[$₹-447]#,##0.00"/>
  </numFmts>
  <fonts count="19" x14ac:knownFonts="1">
    <font>
      <sz val="11"/>
      <color theme="1"/>
      <name val="Aptos Narrow"/>
      <family val="2"/>
      <scheme val="minor"/>
    </font>
    <font>
      <b/>
      <sz val="11"/>
      <color theme="1"/>
      <name val="Calibri"/>
      <family val="2"/>
    </font>
    <font>
      <sz val="11"/>
      <color theme="1"/>
      <name val="Calibri"/>
      <family val="2"/>
    </font>
    <font>
      <b/>
      <sz val="11"/>
      <color theme="0"/>
      <name val="Calibri"/>
      <family val="2"/>
    </font>
    <font>
      <b/>
      <sz val="11"/>
      <color theme="0"/>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10"/>
      <color theme="1"/>
      <name val="Aptos Narrow"/>
      <family val="2"/>
      <scheme val="minor"/>
    </font>
    <font>
      <b/>
      <sz val="11"/>
      <color theme="1"/>
      <name val="Aptos Narrow"/>
      <family val="2"/>
    </font>
    <font>
      <b/>
      <sz val="14"/>
      <color theme="1" tint="4.9989318521683403E-2"/>
      <name val="Aptos Narrow"/>
      <family val="2"/>
    </font>
    <font>
      <sz val="11"/>
      <color theme="1"/>
      <name val="Aptos Narrow"/>
      <family val="2"/>
    </font>
    <font>
      <b/>
      <sz val="11"/>
      <color theme="1"/>
      <name val="Arial"/>
      <family val="2"/>
    </font>
    <font>
      <sz val="11"/>
      <color theme="1"/>
      <name val="Arial"/>
      <family val="2"/>
    </font>
    <font>
      <b/>
      <sz val="11"/>
      <color theme="0"/>
      <name val="Aptos Narrow"/>
      <family val="2"/>
    </font>
  </fonts>
  <fills count="13">
    <fill>
      <patternFill patternType="none"/>
    </fill>
    <fill>
      <patternFill patternType="gray125"/>
    </fill>
    <fill>
      <patternFill patternType="solid">
        <fgColor theme="5" tint="-0.249977111117893"/>
        <bgColor indexed="64"/>
      </patternFill>
    </fill>
    <fill>
      <patternFill patternType="solid">
        <fgColor theme="0"/>
        <bgColor indexed="64"/>
      </patternFill>
    </fill>
    <fill>
      <patternFill patternType="solid">
        <fgColor theme="0"/>
        <bgColor theme="4" tint="0.79998168889431442"/>
      </patternFill>
    </fill>
    <fill>
      <patternFill patternType="solid">
        <fgColor indexed="22"/>
        <bgColor indexed="24"/>
      </patternFill>
    </fill>
    <fill>
      <patternFill patternType="solid">
        <fgColor indexed="22"/>
        <bgColor indexed="7"/>
      </patternFill>
    </fill>
    <fill>
      <patternFill patternType="solid">
        <fgColor theme="5" tint="0.59999389629810485"/>
        <bgColor indexed="64"/>
      </patternFill>
    </fill>
    <fill>
      <patternFill patternType="solid">
        <fgColor theme="5"/>
        <bgColor indexed="64"/>
      </patternFill>
    </fill>
    <fill>
      <patternFill patternType="solid">
        <fgColor theme="5"/>
        <bgColor theme="4"/>
      </patternFill>
    </fill>
    <fill>
      <patternFill patternType="solid">
        <fgColor theme="5"/>
        <bgColor indexed="24"/>
      </patternFill>
    </fill>
    <fill>
      <patternFill patternType="solid">
        <fgColor theme="5" tint="0.59999389629810485"/>
        <bgColor indexed="24"/>
      </patternFill>
    </fill>
    <fill>
      <patternFill patternType="solid">
        <fgColor theme="5" tint="0.79998168889431442"/>
        <bgColor indexed="64"/>
      </patternFill>
    </fill>
  </fills>
  <borders count="24">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medium">
        <color rgb="FFCCCCCC"/>
      </top>
      <bottom style="medium">
        <color rgb="FFCCCCCC"/>
      </bottom>
      <diagonal/>
    </border>
  </borders>
  <cellStyleXfs count="2">
    <xf numFmtId="0" fontId="0" fillId="0" borderId="0"/>
    <xf numFmtId="44" fontId="5" fillId="0" borderId="0" applyFont="0" applyFill="0" applyBorder="0" applyAlignment="0" applyProtection="0"/>
  </cellStyleXfs>
  <cellXfs count="85">
    <xf numFmtId="0" fontId="0" fillId="0" borderId="0" xfId="0"/>
    <xf numFmtId="0" fontId="2" fillId="0" borderId="1" xfId="0" applyFont="1" applyBorder="1" applyAlignment="1">
      <alignment wrapText="1"/>
    </xf>
    <xf numFmtId="14" fontId="2" fillId="0" borderId="1" xfId="0" applyNumberFormat="1" applyFont="1" applyBorder="1" applyAlignment="1">
      <alignment horizontal="right" wrapText="1"/>
    </xf>
    <xf numFmtId="0" fontId="2" fillId="0" borderId="1" xfId="0" applyFont="1" applyBorder="1" applyAlignment="1">
      <alignment horizontal="right" wrapText="1"/>
    </xf>
    <xf numFmtId="0" fontId="2" fillId="0" borderId="2" xfId="0" applyFont="1" applyBorder="1" applyAlignment="1">
      <alignment wrapText="1"/>
    </xf>
    <xf numFmtId="0" fontId="2" fillId="0" borderId="3" xfId="0" applyFont="1" applyBorder="1" applyAlignment="1">
      <alignment horizontal="right" wrapText="1"/>
    </xf>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2" fillId="0" borderId="7" xfId="0" applyFont="1" applyBorder="1" applyAlignment="1">
      <alignment wrapText="1"/>
    </xf>
    <xf numFmtId="14" fontId="2" fillId="0" borderId="8" xfId="0" applyNumberFormat="1" applyFont="1" applyBorder="1" applyAlignment="1">
      <alignment horizontal="right" wrapText="1"/>
    </xf>
    <xf numFmtId="0" fontId="2" fillId="0" borderId="8" xfId="0" applyFont="1" applyBorder="1" applyAlignment="1">
      <alignment wrapText="1"/>
    </xf>
    <xf numFmtId="0" fontId="2" fillId="0" borderId="8" xfId="0" applyFont="1" applyBorder="1" applyAlignment="1">
      <alignment horizontal="right" wrapText="1"/>
    </xf>
    <xf numFmtId="0" fontId="2" fillId="0" borderId="9" xfId="0" applyFont="1" applyBorder="1" applyAlignment="1">
      <alignment horizontal="right" wrapText="1"/>
    </xf>
    <xf numFmtId="0" fontId="0" fillId="0" borderId="0" xfId="0" applyAlignment="1">
      <alignment horizontal="center" vertical="center"/>
    </xf>
    <xf numFmtId="0" fontId="0" fillId="0" borderId="10" xfId="0" applyBorder="1" applyAlignment="1">
      <alignment horizontal="center" vertical="center"/>
    </xf>
    <xf numFmtId="0" fontId="0" fillId="2" borderId="0" xfId="0" applyFill="1"/>
    <xf numFmtId="0" fontId="0" fillId="0" borderId="11" xfId="0" applyBorder="1" applyAlignment="1">
      <alignment horizontal="center" vertical="center"/>
    </xf>
    <xf numFmtId="0" fontId="0" fillId="0" borderId="12" xfId="0" applyBorder="1" applyAlignment="1">
      <alignment horizontal="center" vertical="center"/>
    </xf>
    <xf numFmtId="22" fontId="0" fillId="0" borderId="10" xfId="0" applyNumberFormat="1" applyBorder="1" applyAlignment="1">
      <alignment horizontal="center" vertical="center"/>
    </xf>
    <xf numFmtId="14" fontId="0" fillId="0" borderId="10" xfId="0" applyNumberFormat="1" applyBorder="1" applyAlignment="1">
      <alignment horizontal="center" vertical="center"/>
    </xf>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NumberFormat="1" applyBorder="1"/>
    <xf numFmtId="0" fontId="0" fillId="0" borderId="10" xfId="0" applyBorder="1" applyAlignment="1">
      <alignment horizontal="left" indent="1"/>
    </xf>
    <xf numFmtId="14" fontId="2" fillId="4" borderId="10" xfId="0" applyNumberFormat="1" applyFont="1" applyFill="1" applyBorder="1" applyAlignment="1">
      <alignment horizontal="center" vertical="center" wrapText="1"/>
    </xf>
    <xf numFmtId="14" fontId="2" fillId="3" borderId="10" xfId="0" applyNumberFormat="1" applyFont="1" applyFill="1" applyBorder="1" applyAlignment="1">
      <alignment horizontal="center" vertical="center" wrapText="1"/>
    </xf>
    <xf numFmtId="0" fontId="0" fillId="0" borderId="13" xfId="0" applyBorder="1"/>
    <xf numFmtId="0" fontId="0" fillId="0" borderId="14" xfId="0" applyBorder="1"/>
    <xf numFmtId="0" fontId="0" fillId="0" borderId="15" xfId="0" applyBorder="1"/>
    <xf numFmtId="0" fontId="0" fillId="0" borderId="12" xfId="0" applyBorder="1"/>
    <xf numFmtId="0" fontId="0" fillId="0" borderId="11" xfId="0" applyBorder="1"/>
    <xf numFmtId="0" fontId="0" fillId="0" borderId="16" xfId="0" applyBorder="1"/>
    <xf numFmtId="0" fontId="0" fillId="0" borderId="17" xfId="0" applyBorder="1"/>
    <xf numFmtId="0" fontId="0" fillId="0" borderId="18" xfId="0" applyBorder="1"/>
    <xf numFmtId="14" fontId="2" fillId="4" borderId="14" xfId="0" applyNumberFormat="1" applyFont="1" applyFill="1" applyBorder="1" applyAlignment="1">
      <alignment horizontal="center" vertical="center" wrapText="1"/>
    </xf>
    <xf numFmtId="22" fontId="0" fillId="0" borderId="14" xfId="0" applyNumberFormat="1" applyBorder="1" applyAlignment="1">
      <alignment horizontal="center" vertical="center"/>
    </xf>
    <xf numFmtId="0" fontId="0" fillId="0" borderId="14" xfId="0" applyBorder="1" applyAlignment="1">
      <alignment horizontal="center" vertical="center"/>
    </xf>
    <xf numFmtId="14" fontId="0" fillId="0" borderId="14" xfId="0" applyNumberFormat="1" applyBorder="1" applyAlignment="1">
      <alignment horizontal="center" vertical="center"/>
    </xf>
    <xf numFmtId="0" fontId="0" fillId="0" borderId="0" xfId="0" applyBorder="1" applyAlignment="1">
      <alignment horizontal="center" vertical="center"/>
    </xf>
    <xf numFmtId="0" fontId="0" fillId="0" borderId="0" xfId="0" applyBorder="1"/>
    <xf numFmtId="0" fontId="0" fillId="0" borderId="0" xfId="0" applyFill="1" applyBorder="1" applyAlignment="1"/>
    <xf numFmtId="0" fontId="0" fillId="0" borderId="21" xfId="0" applyFill="1" applyBorder="1" applyAlignment="1"/>
    <xf numFmtId="0" fontId="0" fillId="0" borderId="22" xfId="0" applyFill="1" applyBorder="1" applyAlignment="1"/>
    <xf numFmtId="0" fontId="9" fillId="5" borderId="0" xfId="0" applyFont="1" applyFill="1" applyBorder="1" applyAlignment="1">
      <alignment horizontal="left"/>
    </xf>
    <xf numFmtId="0" fontId="10" fillId="5" borderId="22" xfId="0" applyFont="1" applyFill="1" applyBorder="1" applyAlignment="1">
      <alignment horizontal="left"/>
    </xf>
    <xf numFmtId="0" fontId="9" fillId="5" borderId="21" xfId="0" applyFont="1" applyFill="1" applyBorder="1" applyAlignment="1">
      <alignment horizontal="left"/>
    </xf>
    <xf numFmtId="0" fontId="0" fillId="6" borderId="0" xfId="0" applyFill="1" applyBorder="1" applyAlignment="1"/>
    <xf numFmtId="0" fontId="0" fillId="0" borderId="0" xfId="0" applyAlignment="1">
      <alignment horizontal="center"/>
    </xf>
    <xf numFmtId="0" fontId="0" fillId="0" borderId="10" xfId="0" applyBorder="1" applyAlignment="1">
      <alignment horizontal="center"/>
    </xf>
    <xf numFmtId="170" fontId="0" fillId="0" borderId="10" xfId="0" applyNumberFormat="1" applyBorder="1"/>
    <xf numFmtId="0" fontId="0" fillId="7" borderId="14" xfId="0" applyFill="1" applyBorder="1" applyAlignment="1">
      <alignment horizontal="center" vertical="center"/>
    </xf>
    <xf numFmtId="0" fontId="0" fillId="7" borderId="10" xfId="0" applyFill="1" applyBorder="1" applyAlignment="1">
      <alignment horizontal="center" vertical="center"/>
    </xf>
    <xf numFmtId="0" fontId="7" fillId="8" borderId="10" xfId="0" applyFont="1" applyFill="1" applyBorder="1" applyAlignment="1">
      <alignment horizontal="center"/>
    </xf>
    <xf numFmtId="0" fontId="7" fillId="0" borderId="10" xfId="0" applyFont="1" applyBorder="1"/>
    <xf numFmtId="0" fontId="3" fillId="9" borderId="10" xfId="0" applyFont="1" applyFill="1" applyBorder="1" applyAlignment="1">
      <alignment horizontal="center" vertical="center" wrapText="1"/>
    </xf>
    <xf numFmtId="0" fontId="4" fillId="8" borderId="10" xfId="0" applyFont="1" applyFill="1" applyBorder="1" applyAlignment="1">
      <alignment horizontal="center" vertical="center"/>
    </xf>
    <xf numFmtId="0" fontId="3" fillId="9" borderId="11" xfId="0" applyFont="1" applyFill="1" applyBorder="1" applyAlignment="1">
      <alignment horizontal="center" vertical="center" wrapText="1"/>
    </xf>
    <xf numFmtId="0" fontId="3" fillId="9" borderId="22" xfId="0" applyFont="1" applyFill="1" applyBorder="1" applyAlignment="1">
      <alignment horizontal="center" vertical="center" wrapText="1"/>
    </xf>
    <xf numFmtId="0" fontId="7" fillId="8" borderId="0" xfId="0" applyFont="1" applyFill="1" applyAlignment="1">
      <alignment horizontal="center" vertical="center"/>
    </xf>
    <xf numFmtId="0" fontId="8" fillId="10" borderId="20" xfId="0" applyFont="1" applyFill="1" applyBorder="1" applyAlignment="1">
      <alignment horizontal="left"/>
    </xf>
    <xf numFmtId="0" fontId="11" fillId="10" borderId="20" xfId="0" applyFont="1" applyFill="1" applyBorder="1" applyAlignment="1">
      <alignment horizontal="right"/>
    </xf>
    <xf numFmtId="0" fontId="8" fillId="10" borderId="19" xfId="0" applyFont="1" applyFill="1" applyBorder="1" applyAlignment="1">
      <alignment horizontal="left"/>
    </xf>
    <xf numFmtId="0" fontId="11" fillId="10" borderId="19" xfId="0" applyFont="1" applyFill="1" applyBorder="1" applyAlignment="1">
      <alignment horizontal="right"/>
    </xf>
    <xf numFmtId="0" fontId="6" fillId="5" borderId="22" xfId="0" applyFont="1" applyFill="1" applyBorder="1" applyAlignment="1">
      <alignment horizontal="left"/>
    </xf>
    <xf numFmtId="0" fontId="7" fillId="8" borderId="0" xfId="0" applyFont="1" applyFill="1" applyAlignment="1">
      <alignment horizontal="center"/>
    </xf>
    <xf numFmtId="10" fontId="0" fillId="0" borderId="10" xfId="0" applyNumberFormat="1" applyBorder="1"/>
    <xf numFmtId="187" fontId="0" fillId="0" borderId="10" xfId="0" applyNumberFormat="1" applyBorder="1"/>
    <xf numFmtId="0" fontId="0" fillId="7" borderId="10" xfId="0" applyFill="1" applyBorder="1"/>
    <xf numFmtId="0" fontId="12" fillId="11" borderId="10" xfId="0" applyFont="1" applyFill="1" applyBorder="1" applyAlignment="1">
      <alignment horizontal="right"/>
    </xf>
    <xf numFmtId="0" fontId="2" fillId="0" borderId="10" xfId="0" applyFont="1" applyBorder="1" applyAlignment="1">
      <alignment horizontal="center" vertical="center" wrapText="1"/>
    </xf>
    <xf numFmtId="188" fontId="2" fillId="0" borderId="10" xfId="0" applyNumberFormat="1" applyFont="1" applyBorder="1" applyAlignment="1">
      <alignment horizontal="center" vertical="center" wrapText="1"/>
    </xf>
    <xf numFmtId="0" fontId="2" fillId="0" borderId="10" xfId="0" applyFont="1" applyBorder="1" applyAlignment="1">
      <alignment horizontal="center" vertical="center" wrapText="1"/>
    </xf>
    <xf numFmtId="188" fontId="2" fillId="0" borderId="10" xfId="0" applyNumberFormat="1" applyFont="1" applyBorder="1" applyAlignment="1">
      <alignment horizontal="center" vertical="center" wrapText="1"/>
    </xf>
    <xf numFmtId="0" fontId="14" fillId="8" borderId="10" xfId="0" applyFont="1" applyFill="1" applyBorder="1" applyAlignment="1">
      <alignment horizontal="center" vertical="center" wrapText="1"/>
    </xf>
    <xf numFmtId="0" fontId="13" fillId="0" borderId="10" xfId="0" applyFont="1" applyBorder="1" applyAlignment="1">
      <alignment horizontal="center" vertical="center" wrapText="1"/>
    </xf>
    <xf numFmtId="0" fontId="16" fillId="8" borderId="10" xfId="0" applyFont="1" applyFill="1" applyBorder="1" applyAlignment="1">
      <alignment horizontal="center" vertical="center" wrapText="1"/>
    </xf>
    <xf numFmtId="0" fontId="2" fillId="0" borderId="23" xfId="0" applyFont="1" applyBorder="1" applyAlignment="1">
      <alignment horizontal="center" vertical="center" wrapText="1"/>
    </xf>
    <xf numFmtId="0" fontId="18" fillId="8" borderId="10" xfId="0" applyFont="1" applyFill="1" applyBorder="1" applyAlignment="1">
      <alignment horizontal="center" vertical="center" wrapText="1"/>
    </xf>
    <xf numFmtId="0" fontId="13" fillId="12" borderId="10" xfId="0" applyFont="1" applyFill="1" applyBorder="1" applyAlignment="1">
      <alignment horizontal="center" vertical="center" wrapText="1"/>
    </xf>
    <xf numFmtId="0" fontId="13" fillId="8" borderId="10" xfId="0" applyFont="1" applyFill="1" applyBorder="1" applyAlignment="1">
      <alignment horizontal="center" vertical="center" wrapText="1"/>
    </xf>
    <xf numFmtId="0" fontId="15" fillId="0" borderId="10" xfId="0" applyFont="1" applyBorder="1" applyAlignment="1">
      <alignment horizontal="center" vertical="center" wrapText="1"/>
    </xf>
    <xf numFmtId="188" fontId="15" fillId="0" borderId="10" xfId="1" applyNumberFormat="1" applyFont="1" applyBorder="1" applyAlignment="1">
      <alignment horizontal="center" vertical="center" wrapText="1"/>
    </xf>
    <xf numFmtId="188" fontId="2" fillId="0" borderId="10" xfId="1" applyNumberFormat="1" applyFont="1" applyBorder="1" applyAlignment="1">
      <alignment horizontal="center" vertical="center" wrapText="1"/>
    </xf>
  </cellXfs>
  <cellStyles count="2">
    <cellStyle name="Currency" xfId="1" builtinId="4"/>
    <cellStyle name="Normal" xfId="0" builtinId="0"/>
  </cellStyles>
  <dxfs count="70">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m/d/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m/d/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FF6600"/>
      <color rgb="FFFF9933"/>
      <color rgb="FF00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[finalproject.xlsx]visualizations!unit_price_vs_region</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lumMod val="95000"/>
                    <a:lumOff val="5000"/>
                  </a:schemeClr>
                </a:solidFill>
              </a:rPr>
              <a:t>regional vs unit price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visualizations!$C$1</c:f>
              <c:strCache>
                <c:ptCount val="1"/>
                <c:pt idx="0">
                  <c:v>Total</c:v>
                </c:pt>
              </c:strCache>
            </c:strRef>
          </c:tx>
          <c:dPt>
            <c:idx val="0"/>
            <c:bubble3D val="0"/>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6DF-4B84-943B-FD8B6A9B3B91}"/>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6DF-4B84-943B-FD8B6A9B3B91}"/>
              </c:ext>
            </c:extLst>
          </c:dPt>
          <c:dPt>
            <c:idx val="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6DF-4B84-943B-FD8B6A9B3B91}"/>
              </c:ext>
            </c:extLst>
          </c:dPt>
          <c:dPt>
            <c:idx val="3"/>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6DF-4B84-943B-FD8B6A9B3B91}"/>
              </c:ext>
            </c:extLst>
          </c:dPt>
          <c:dPt>
            <c:idx val="4"/>
            <c:bubble3D val="0"/>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6DF-4B84-943B-FD8B6A9B3B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visualizations!$B$2:$B$7</c:f>
              <c:strCache>
                <c:ptCount val="5"/>
                <c:pt idx="0">
                  <c:v>Central</c:v>
                </c:pt>
                <c:pt idx="1">
                  <c:v>East</c:v>
                </c:pt>
                <c:pt idx="2">
                  <c:v>North</c:v>
                </c:pt>
                <c:pt idx="3">
                  <c:v>South</c:v>
                </c:pt>
                <c:pt idx="4">
                  <c:v>West</c:v>
                </c:pt>
              </c:strCache>
            </c:strRef>
          </c:cat>
          <c:val>
            <c:numRef>
              <c:f>visualizations!$C$2:$C$7</c:f>
              <c:numCache>
                <c:formatCode>General</c:formatCode>
                <c:ptCount val="5"/>
                <c:pt idx="0">
                  <c:v>14219.459999999992</c:v>
                </c:pt>
                <c:pt idx="1">
                  <c:v>16569.519999999997</c:v>
                </c:pt>
                <c:pt idx="2">
                  <c:v>19749.41</c:v>
                </c:pt>
                <c:pt idx="3">
                  <c:v>10189.579999999994</c:v>
                </c:pt>
                <c:pt idx="4">
                  <c:v>13439.529999999992</c:v>
                </c:pt>
              </c:numCache>
            </c:numRef>
          </c:val>
          <c:extLst>
            <c:ext xmlns:c16="http://schemas.microsoft.com/office/drawing/2014/chart" uri="{C3380CC4-5D6E-409C-BE32-E72D297353CC}">
              <c16:uniqueId val="{0000000A-56DF-4B84-943B-FD8B6A9B3B91}"/>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[finalproject.xlsx]visualizations!PivotTable3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Category</a:t>
            </a:r>
            <a:r>
              <a:rPr lang="en-US" sz="1600" b="1" baseline="0">
                <a:solidFill>
                  <a:schemeClr val="tx1">
                    <a:lumMod val="95000"/>
                    <a:lumOff val="5000"/>
                  </a:schemeClr>
                </a:solidFill>
              </a:rPr>
              <a:t> </a:t>
            </a:r>
            <a:r>
              <a:rPr lang="en-US" sz="1600" b="1">
                <a:solidFill>
                  <a:schemeClr val="tx1">
                    <a:lumMod val="95000"/>
                    <a:lumOff val="5000"/>
                  </a:schemeClr>
                </a:solidFill>
              </a:rPr>
              <a:t>vs</a:t>
            </a:r>
            <a:r>
              <a:rPr lang="en-US" sz="1600" b="1" baseline="0">
                <a:solidFill>
                  <a:schemeClr val="tx1">
                    <a:lumMod val="95000"/>
                    <a:lumOff val="5000"/>
                  </a:schemeClr>
                </a:solidFill>
              </a:rPr>
              <a:t> </a:t>
            </a:r>
            <a:r>
              <a:rPr lang="en-US" sz="1600" b="1">
                <a:solidFill>
                  <a:schemeClr val="tx1">
                    <a:lumMod val="95000"/>
                    <a:lumOff val="5000"/>
                  </a:schemeClr>
                </a:solidFill>
              </a:rPr>
              <a:t>Total</a:t>
            </a:r>
            <a:r>
              <a:rPr lang="en-US" sz="1600" b="1" baseline="0">
                <a:solidFill>
                  <a:schemeClr val="tx1">
                    <a:lumMod val="95000"/>
                    <a:lumOff val="5000"/>
                  </a:schemeClr>
                </a:solidFill>
              </a:rPr>
              <a:t> </a:t>
            </a:r>
            <a:r>
              <a:rPr lang="en-US" sz="1600" b="1">
                <a:solidFill>
                  <a:schemeClr val="tx1">
                    <a:lumMod val="95000"/>
                    <a:lumOff val="5000"/>
                  </a:schemeClr>
                </a:solidFill>
              </a:rPr>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visualizations!$F$14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visualizations!$E$15:$E$18</c:f>
              <c:strCache>
                <c:ptCount val="3"/>
                <c:pt idx="0">
                  <c:v>Appliances</c:v>
                </c:pt>
                <c:pt idx="1">
                  <c:v>Electronics</c:v>
                </c:pt>
                <c:pt idx="2">
                  <c:v>Furniture</c:v>
                </c:pt>
              </c:strCache>
            </c:strRef>
          </c:cat>
          <c:val>
            <c:numRef>
              <c:f>visualizations!$F$15:$F$18</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1F54-4AFF-9BBA-6A8AFB0BEDF4}"/>
            </c:ext>
          </c:extLst>
        </c:ser>
        <c:dLbls>
          <c:dLblPos val="outEnd"/>
          <c:showLegendKey val="0"/>
          <c:showVal val="1"/>
          <c:showCatName val="0"/>
          <c:showSerName val="0"/>
          <c:showPercent val="0"/>
          <c:showBubbleSize val="0"/>
        </c:dLbls>
        <c:gapWidth val="182"/>
        <c:axId val="1227691456"/>
        <c:axId val="1227694336"/>
      </c:barChart>
      <c:catAx>
        <c:axId val="122769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694336"/>
        <c:crosses val="autoZero"/>
        <c:auto val="1"/>
        <c:lblAlgn val="ctr"/>
        <c:lblOffset val="100"/>
        <c:noMultiLvlLbl val="0"/>
      </c:catAx>
      <c:valAx>
        <c:axId val="1227694336"/>
        <c:scaling>
          <c:orientation val="minMax"/>
        </c:scaling>
        <c:delete val="1"/>
        <c:axPos val="b"/>
        <c:numFmt formatCode="General" sourceLinked="1"/>
        <c:majorTickMark val="none"/>
        <c:minorTickMark val="none"/>
        <c:tickLblPos val="nextTo"/>
        <c:crossAx val="122769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[finalproject.xlsx]visualizations!PivotTable2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Prouduct</a:t>
            </a:r>
            <a:r>
              <a:rPr lang="en-US" sz="1600" b="1" baseline="0">
                <a:solidFill>
                  <a:schemeClr val="tx1"/>
                </a:solidFill>
              </a:rPr>
              <a:t> vs unit price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2059664606236837"/>
          <c:w val="0.95584517301138128"/>
          <c:h val="0.46989590153015964"/>
        </c:manualLayout>
      </c:layout>
      <c:lineChart>
        <c:grouping val="stacked"/>
        <c:varyColors val="0"/>
        <c:ser>
          <c:idx val="0"/>
          <c:order val="0"/>
          <c:tx>
            <c:strRef>
              <c:f>visualizations!$F$1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visualizations!$E$2:$E$12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visualizations!$F$2:$F$12</c:f>
              <c:numCache>
                <c:formatCode>General</c:formatCode>
                <c:ptCount val="10"/>
                <c:pt idx="0">
                  <c:v>1739.71</c:v>
                </c:pt>
                <c:pt idx="1">
                  <c:v>5249.649999999996</c:v>
                </c:pt>
                <c:pt idx="2">
                  <c:v>1119.8599999999999</c:v>
                </c:pt>
                <c:pt idx="3">
                  <c:v>7799.7399999999961</c:v>
                </c:pt>
                <c:pt idx="4">
                  <c:v>2399.84</c:v>
                </c:pt>
                <c:pt idx="5">
                  <c:v>3059.6599999999976</c:v>
                </c:pt>
                <c:pt idx="6">
                  <c:v>21599.760000000006</c:v>
                </c:pt>
                <c:pt idx="7">
                  <c:v>6499.7399999999961</c:v>
                </c:pt>
                <c:pt idx="8">
                  <c:v>2999.8499999999995</c:v>
                </c:pt>
                <c:pt idx="9">
                  <c:v>21699.69000000001</c:v>
                </c:pt>
              </c:numCache>
            </c:numRef>
          </c:val>
          <c:smooth val="0"/>
          <c:extLst>
            <c:ext xmlns:c16="http://schemas.microsoft.com/office/drawing/2014/chart" uri="{C3380CC4-5D6E-409C-BE32-E72D297353CC}">
              <c16:uniqueId val="{00000000-CE31-4861-B655-746E9F752059}"/>
            </c:ext>
          </c:extLst>
        </c:ser>
        <c:dLbls>
          <c:dLblPos val="t"/>
          <c:showLegendKey val="0"/>
          <c:showVal val="1"/>
          <c:showCatName val="0"/>
          <c:showSerName val="0"/>
          <c:showPercent val="0"/>
          <c:showBubbleSize val="0"/>
        </c:dLbls>
        <c:marker val="1"/>
        <c:smooth val="0"/>
        <c:axId val="1396055712"/>
        <c:axId val="1396056672"/>
      </c:lineChart>
      <c:catAx>
        <c:axId val="139605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056672"/>
        <c:crosses val="autoZero"/>
        <c:auto val="1"/>
        <c:lblAlgn val="ctr"/>
        <c:lblOffset val="100"/>
        <c:noMultiLvlLbl val="0"/>
      </c:catAx>
      <c:valAx>
        <c:axId val="1396056672"/>
        <c:scaling>
          <c:orientation val="minMax"/>
        </c:scaling>
        <c:delete val="1"/>
        <c:axPos val="l"/>
        <c:numFmt formatCode="General" sourceLinked="1"/>
        <c:majorTickMark val="none"/>
        <c:minorTickMark val="none"/>
        <c:tickLblPos val="nextTo"/>
        <c:crossAx val="139605571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7950766760459702"/>
          <c:y val="0.16453601168594351"/>
          <c:w val="0.76207970723604868"/>
          <c:h val="0.83546398831405644"/>
        </c:manualLayout>
      </c:layout>
      <c:doughnutChart>
        <c:varyColors val="1"/>
        <c:ser>
          <c:idx val="0"/>
          <c:order val="0"/>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D6FA-4A56-B4C6-55E464763483}"/>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D6FA-4A56-B4C6-55E464763483}"/>
              </c:ext>
            </c:extLst>
          </c:dPt>
          <c:val>
            <c:numRef>
              <c:f>visualizations!$S$5:$S$6</c:f>
              <c:numCache>
                <c:formatCode>0.0%</c:formatCode>
                <c:ptCount val="2"/>
                <c:pt idx="0" formatCode="0.00%">
                  <c:v>0.91676988000000126</c:v>
                </c:pt>
                <c:pt idx="1">
                  <c:v>8.3230119999998742E-2</c:v>
                </c:pt>
              </c:numCache>
            </c:numRef>
          </c:val>
          <c:extLst>
            <c:ext xmlns:c16="http://schemas.microsoft.com/office/drawing/2014/chart" uri="{C3380CC4-5D6E-409C-BE32-E72D297353CC}">
              <c16:uniqueId val="{00000004-D6FA-4A56-B4C6-55E46476348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374649</xdr:colOff>
      <xdr:row>1</xdr:row>
      <xdr:rowOff>51210</xdr:rowOff>
    </xdr:from>
    <xdr:to>
      <xdr:col>5</xdr:col>
      <xdr:colOff>143387</xdr:colOff>
      <xdr:row>6</xdr:row>
      <xdr:rowOff>107950</xdr:rowOff>
    </xdr:to>
    <xdr:sp macro="" textlink="">
      <xdr:nvSpPr>
        <xdr:cNvPr id="2" name="Rectangle 1">
          <a:extLst>
            <a:ext uri="{FF2B5EF4-FFF2-40B4-BE49-F238E27FC236}">
              <a16:creationId xmlns:a16="http://schemas.microsoft.com/office/drawing/2014/main" id="{35053B1D-A64C-0ED8-0BCD-9B59C4F2AEA3}"/>
            </a:ext>
          </a:extLst>
        </xdr:cNvPr>
        <xdr:cNvSpPr/>
      </xdr:nvSpPr>
      <xdr:spPr>
        <a:xfrm>
          <a:off x="374649" y="235565"/>
          <a:ext cx="2841319" cy="9785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402284</xdr:colOff>
      <xdr:row>8</xdr:row>
      <xdr:rowOff>34715</xdr:rowOff>
    </xdr:from>
    <xdr:to>
      <xdr:col>3</xdr:col>
      <xdr:colOff>446734</xdr:colOff>
      <xdr:row>12</xdr:row>
      <xdr:rowOff>158087</xdr:rowOff>
    </xdr:to>
    <xdr:sp macro="" textlink="">
      <xdr:nvSpPr>
        <xdr:cNvPr id="3" name="Rectangle 2">
          <a:extLst>
            <a:ext uri="{FF2B5EF4-FFF2-40B4-BE49-F238E27FC236}">
              <a16:creationId xmlns:a16="http://schemas.microsoft.com/office/drawing/2014/main" id="{3F66511A-2A8A-F1E2-1CFC-9B25B5A8D861}"/>
            </a:ext>
          </a:extLst>
        </xdr:cNvPr>
        <xdr:cNvSpPr/>
      </xdr:nvSpPr>
      <xdr:spPr>
        <a:xfrm>
          <a:off x="1010180" y="963983"/>
          <a:ext cx="1868139" cy="866787"/>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Revenue</a:t>
          </a:r>
        </a:p>
      </xdr:txBody>
    </xdr:sp>
    <xdr:clientData/>
  </xdr:twoCellAnchor>
  <xdr:twoCellAnchor>
    <xdr:from>
      <xdr:col>0</xdr:col>
      <xdr:colOff>400957</xdr:colOff>
      <xdr:row>13</xdr:row>
      <xdr:rowOff>172357</xdr:rowOff>
    </xdr:from>
    <xdr:to>
      <xdr:col>3</xdr:col>
      <xdr:colOff>445407</xdr:colOff>
      <xdr:row>18</xdr:row>
      <xdr:rowOff>54428</xdr:rowOff>
    </xdr:to>
    <xdr:sp macro="" textlink="">
      <xdr:nvSpPr>
        <xdr:cNvPr id="4" name="Rectangle 3">
          <a:extLst>
            <a:ext uri="{FF2B5EF4-FFF2-40B4-BE49-F238E27FC236}">
              <a16:creationId xmlns:a16="http://schemas.microsoft.com/office/drawing/2014/main" id="{19877A14-91C7-49FA-85A6-6A5BAE9ACE9A}"/>
            </a:ext>
          </a:extLst>
        </xdr:cNvPr>
        <xdr:cNvSpPr/>
      </xdr:nvSpPr>
      <xdr:spPr>
        <a:xfrm>
          <a:off x="1011217" y="1986643"/>
          <a:ext cx="1875229" cy="7892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376509</xdr:colOff>
      <xdr:row>20</xdr:row>
      <xdr:rowOff>40821</xdr:rowOff>
    </xdr:from>
    <xdr:to>
      <xdr:col>3</xdr:col>
      <xdr:colOff>420959</xdr:colOff>
      <xdr:row>24</xdr:row>
      <xdr:rowOff>117929</xdr:rowOff>
    </xdr:to>
    <xdr:sp macro="" textlink="">
      <xdr:nvSpPr>
        <xdr:cNvPr id="5" name="Rectangle 4">
          <a:extLst>
            <a:ext uri="{FF2B5EF4-FFF2-40B4-BE49-F238E27FC236}">
              <a16:creationId xmlns:a16="http://schemas.microsoft.com/office/drawing/2014/main" id="{4D0913EB-EFA6-4674-9E88-3F4A62008981}"/>
            </a:ext>
          </a:extLst>
        </xdr:cNvPr>
        <xdr:cNvSpPr/>
      </xdr:nvSpPr>
      <xdr:spPr>
        <a:xfrm>
          <a:off x="984405" y="3200333"/>
          <a:ext cx="1868139" cy="82052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172608</xdr:colOff>
      <xdr:row>8</xdr:row>
      <xdr:rowOff>122869</xdr:rowOff>
    </xdr:from>
    <xdr:to>
      <xdr:col>14</xdr:col>
      <xdr:colOff>444750</xdr:colOff>
      <xdr:row>18</xdr:row>
      <xdr:rowOff>114170</xdr:rowOff>
    </xdr:to>
    <xdr:sp macro="" textlink="">
      <xdr:nvSpPr>
        <xdr:cNvPr id="6" name="Rectangle 5">
          <a:extLst>
            <a:ext uri="{FF2B5EF4-FFF2-40B4-BE49-F238E27FC236}">
              <a16:creationId xmlns:a16="http://schemas.microsoft.com/office/drawing/2014/main" id="{DE4C2FDC-BA81-53CE-58EA-3284D56B9966}"/>
            </a:ext>
          </a:extLst>
        </xdr:cNvPr>
        <xdr:cNvSpPr/>
      </xdr:nvSpPr>
      <xdr:spPr>
        <a:xfrm>
          <a:off x="3215316" y="1604536"/>
          <a:ext cx="6357559" cy="184338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368291</xdr:colOff>
      <xdr:row>26</xdr:row>
      <xdr:rowOff>60206</xdr:rowOff>
    </xdr:from>
    <xdr:to>
      <xdr:col>3</xdr:col>
      <xdr:colOff>412741</xdr:colOff>
      <xdr:row>31</xdr:row>
      <xdr:rowOff>18577</xdr:rowOff>
    </xdr:to>
    <xdr:sp macro="" textlink="">
      <xdr:nvSpPr>
        <xdr:cNvPr id="7" name="Rectangle 6">
          <a:extLst>
            <a:ext uri="{FF2B5EF4-FFF2-40B4-BE49-F238E27FC236}">
              <a16:creationId xmlns:a16="http://schemas.microsoft.com/office/drawing/2014/main" id="{7D400F06-522E-41FB-BC51-04B9A5D62A17}"/>
            </a:ext>
          </a:extLst>
        </xdr:cNvPr>
        <xdr:cNvSpPr/>
      </xdr:nvSpPr>
      <xdr:spPr>
        <a:xfrm>
          <a:off x="975682" y="4797858"/>
          <a:ext cx="1866624" cy="86945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156575</xdr:colOff>
      <xdr:row>19</xdr:row>
      <xdr:rowOff>121781</xdr:rowOff>
    </xdr:from>
    <xdr:to>
      <xdr:col>9</xdr:col>
      <xdr:colOff>121781</xdr:colOff>
      <xdr:row>31</xdr:row>
      <xdr:rowOff>78287</xdr:rowOff>
    </xdr:to>
    <xdr:sp macro="" textlink="">
      <xdr:nvSpPr>
        <xdr:cNvPr id="8" name="Rectangle 7">
          <a:extLst>
            <a:ext uri="{FF2B5EF4-FFF2-40B4-BE49-F238E27FC236}">
              <a16:creationId xmlns:a16="http://schemas.microsoft.com/office/drawing/2014/main" id="{7075FF50-E94E-77E7-DAFA-F60975BC2F7D}"/>
            </a:ext>
          </a:extLst>
        </xdr:cNvPr>
        <xdr:cNvSpPr/>
      </xdr:nvSpPr>
      <xdr:spPr>
        <a:xfrm>
          <a:off x="3201096" y="3044521"/>
          <a:ext cx="3009726" cy="214856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469726</xdr:colOff>
      <xdr:row>19</xdr:row>
      <xdr:rowOff>86986</xdr:rowOff>
    </xdr:from>
    <xdr:to>
      <xdr:col>14</xdr:col>
      <xdr:colOff>434931</xdr:colOff>
      <xdr:row>31</xdr:row>
      <xdr:rowOff>43492</xdr:rowOff>
    </xdr:to>
    <xdr:sp macro="" textlink="">
      <xdr:nvSpPr>
        <xdr:cNvPr id="9" name="Rectangle 8">
          <a:extLst>
            <a:ext uri="{FF2B5EF4-FFF2-40B4-BE49-F238E27FC236}">
              <a16:creationId xmlns:a16="http://schemas.microsoft.com/office/drawing/2014/main" id="{F0F8D44F-EE3D-4384-AACC-C1A5A03336BE}"/>
            </a:ext>
          </a:extLst>
        </xdr:cNvPr>
        <xdr:cNvSpPr/>
      </xdr:nvSpPr>
      <xdr:spPr>
        <a:xfrm>
          <a:off x="6558767" y="3009726"/>
          <a:ext cx="3009726" cy="214856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526142</xdr:colOff>
      <xdr:row>1</xdr:row>
      <xdr:rowOff>21167</xdr:rowOff>
    </xdr:from>
    <xdr:to>
      <xdr:col>18</xdr:col>
      <xdr:colOff>254000</xdr:colOff>
      <xdr:row>6</xdr:row>
      <xdr:rowOff>127001</xdr:rowOff>
    </xdr:to>
    <xdr:sp macro="" textlink="">
      <xdr:nvSpPr>
        <xdr:cNvPr id="10" name="Rectangle 9">
          <a:extLst>
            <a:ext uri="{FF2B5EF4-FFF2-40B4-BE49-F238E27FC236}">
              <a16:creationId xmlns:a16="http://schemas.microsoft.com/office/drawing/2014/main" id="{66A0A4B7-CF04-20B8-5122-5118F8403469}"/>
            </a:ext>
          </a:extLst>
        </xdr:cNvPr>
        <xdr:cNvSpPr/>
      </xdr:nvSpPr>
      <xdr:spPr>
        <a:xfrm>
          <a:off x="4166809" y="204611"/>
          <a:ext cx="7615969" cy="1023057"/>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154215</xdr:colOff>
      <xdr:row>8</xdr:row>
      <xdr:rowOff>72571</xdr:rowOff>
    </xdr:from>
    <xdr:to>
      <xdr:col>18</xdr:col>
      <xdr:colOff>272142</xdr:colOff>
      <xdr:row>18</xdr:row>
      <xdr:rowOff>72571</xdr:rowOff>
    </xdr:to>
    <xdr:sp macro="" textlink="">
      <xdr:nvSpPr>
        <xdr:cNvPr id="11" name="Rectangle 10">
          <a:extLst>
            <a:ext uri="{FF2B5EF4-FFF2-40B4-BE49-F238E27FC236}">
              <a16:creationId xmlns:a16="http://schemas.microsoft.com/office/drawing/2014/main" id="{B0F72D17-138A-0600-D3C1-439BE91073DA}"/>
            </a:ext>
          </a:extLst>
        </xdr:cNvPr>
        <xdr:cNvSpPr/>
      </xdr:nvSpPr>
      <xdr:spPr>
        <a:xfrm>
          <a:off x="9878786" y="979714"/>
          <a:ext cx="1941285" cy="181428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190500</xdr:colOff>
      <xdr:row>19</xdr:row>
      <xdr:rowOff>172357</xdr:rowOff>
    </xdr:from>
    <xdr:to>
      <xdr:col>18</xdr:col>
      <xdr:colOff>553357</xdr:colOff>
      <xdr:row>31</xdr:row>
      <xdr:rowOff>108857</xdr:rowOff>
    </xdr:to>
    <xdr:sp macro="" textlink="">
      <xdr:nvSpPr>
        <xdr:cNvPr id="12" name="Rectangle 11">
          <a:extLst>
            <a:ext uri="{FF2B5EF4-FFF2-40B4-BE49-F238E27FC236}">
              <a16:creationId xmlns:a16="http://schemas.microsoft.com/office/drawing/2014/main" id="{0DE93892-22D0-5893-6EB6-86AE9B20C21B}"/>
            </a:ext>
          </a:extLst>
        </xdr:cNvPr>
        <xdr:cNvSpPr/>
      </xdr:nvSpPr>
      <xdr:spPr>
        <a:xfrm>
          <a:off x="9915071" y="3075214"/>
          <a:ext cx="2186215" cy="211364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603089</xdr:colOff>
      <xdr:row>2</xdr:row>
      <xdr:rowOff>30726</xdr:rowOff>
    </xdr:from>
    <xdr:ext cx="2299767" cy="716058"/>
    <xdr:sp macro="" textlink="">
      <xdr:nvSpPr>
        <xdr:cNvPr id="13" name="Rectangle 12">
          <a:extLst>
            <a:ext uri="{FF2B5EF4-FFF2-40B4-BE49-F238E27FC236}">
              <a16:creationId xmlns:a16="http://schemas.microsoft.com/office/drawing/2014/main" id="{B788E6D8-F321-C2C0-7096-8FEB303CCBA5}"/>
            </a:ext>
          </a:extLst>
        </xdr:cNvPr>
        <xdr:cNvSpPr/>
      </xdr:nvSpPr>
      <xdr:spPr>
        <a:xfrm>
          <a:off x="603089" y="399436"/>
          <a:ext cx="2299767" cy="716058"/>
        </a:xfrm>
        <a:prstGeom prst="rect">
          <a:avLst/>
        </a:prstGeom>
        <a:noFill/>
      </xdr:spPr>
      <xdr:txBody>
        <a:bodyPr wrap="none" lIns="91440" tIns="45720" rIns="91440" bIns="45720">
          <a:noAutofit/>
        </a:bodyPr>
        <a:lstStyle/>
        <a:p>
          <a:pPr algn="ctr"/>
          <a:r>
            <a:rPr lang="en-US" sz="4000" b="1" cap="none" spc="0">
              <a:ln w="22225">
                <a:solidFill>
                  <a:schemeClr val="accent2"/>
                </a:solidFill>
                <a:prstDash val="solid"/>
              </a:ln>
              <a:solidFill>
                <a:schemeClr val="accent2">
                  <a:lumMod val="40000"/>
                  <a:lumOff val="60000"/>
                </a:schemeClr>
              </a:solidFill>
              <a:effectLst/>
            </a:rPr>
            <a:t>Dashboard</a:t>
          </a:r>
          <a:endParaRPr lang="en-US" sz="4400" b="1" cap="none" spc="0">
            <a:ln w="22225">
              <a:solidFill>
                <a:schemeClr val="accent2"/>
              </a:solidFill>
              <a:prstDash val="solid"/>
            </a:ln>
            <a:solidFill>
              <a:schemeClr val="accent2">
                <a:lumMod val="40000"/>
                <a:lumOff val="60000"/>
              </a:schemeClr>
            </a:solidFill>
            <a:effectLst/>
          </a:endParaRPr>
        </a:p>
      </xdr:txBody>
    </xdr:sp>
    <xdr:clientData/>
  </xdr:oneCellAnchor>
  <xdr:twoCellAnchor>
    <xdr:from>
      <xdr:col>4</xdr:col>
      <xdr:colOff>326569</xdr:colOff>
      <xdr:row>19</xdr:row>
      <xdr:rowOff>81642</xdr:rowOff>
    </xdr:from>
    <xdr:to>
      <xdr:col>9</xdr:col>
      <xdr:colOff>99786</xdr:colOff>
      <xdr:row>31</xdr:row>
      <xdr:rowOff>90714</xdr:rowOff>
    </xdr:to>
    <xdr:graphicFrame macro="">
      <xdr:nvGraphicFramePr>
        <xdr:cNvPr id="14" name="Chart 13">
          <a:extLst>
            <a:ext uri="{FF2B5EF4-FFF2-40B4-BE49-F238E27FC236}">
              <a16:creationId xmlns:a16="http://schemas.microsoft.com/office/drawing/2014/main" id="{235FE0AD-54F6-4623-86DC-625AD9816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480910</xdr:colOff>
      <xdr:row>19</xdr:row>
      <xdr:rowOff>127000</xdr:rowOff>
    </xdr:from>
    <xdr:to>
      <xdr:col>14</xdr:col>
      <xdr:colOff>381000</xdr:colOff>
      <xdr:row>30</xdr:row>
      <xdr:rowOff>117929</xdr:rowOff>
    </xdr:to>
    <xdr:graphicFrame macro="">
      <xdr:nvGraphicFramePr>
        <xdr:cNvPr id="15" name="Chart 14">
          <a:extLst>
            <a:ext uri="{FF2B5EF4-FFF2-40B4-BE49-F238E27FC236}">
              <a16:creationId xmlns:a16="http://schemas.microsoft.com/office/drawing/2014/main" id="{5B6B92C5-5CDF-4841-BB4B-9C0AD39B6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138836</xdr:colOff>
      <xdr:row>8</xdr:row>
      <xdr:rowOff>51238</xdr:rowOff>
    </xdr:from>
    <xdr:to>
      <xdr:col>14</xdr:col>
      <xdr:colOff>347479</xdr:colOff>
      <xdr:row>17</xdr:row>
      <xdr:rowOff>152887</xdr:rowOff>
    </xdr:to>
    <xdr:graphicFrame macro="">
      <xdr:nvGraphicFramePr>
        <xdr:cNvPr id="16" name="Chart 15">
          <a:extLst>
            <a:ext uri="{FF2B5EF4-FFF2-40B4-BE49-F238E27FC236}">
              <a16:creationId xmlns:a16="http://schemas.microsoft.com/office/drawing/2014/main" id="{16E77840-ABB8-41F6-929B-428194E5C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206628</xdr:colOff>
      <xdr:row>19</xdr:row>
      <xdr:rowOff>140103</xdr:rowOff>
    </xdr:from>
    <xdr:to>
      <xdr:col>18</xdr:col>
      <xdr:colOff>273922</xdr:colOff>
      <xdr:row>30</xdr:row>
      <xdr:rowOff>149412</xdr:rowOff>
    </xdr:to>
    <xdr:sp macro="" textlink="">
      <xdr:nvSpPr>
        <xdr:cNvPr id="17" name="Rectangle 16">
          <a:extLst>
            <a:ext uri="{FF2B5EF4-FFF2-40B4-BE49-F238E27FC236}">
              <a16:creationId xmlns:a16="http://schemas.microsoft.com/office/drawing/2014/main" id="{F4FEF003-4D17-40D5-9024-E3A50DAE1CC9}"/>
            </a:ext>
          </a:extLst>
        </xdr:cNvPr>
        <xdr:cNvSpPr/>
      </xdr:nvSpPr>
      <xdr:spPr>
        <a:xfrm>
          <a:off x="9968197" y="3128338"/>
          <a:ext cx="1897588" cy="206372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383010</xdr:colOff>
      <xdr:row>8</xdr:row>
      <xdr:rowOff>26763</xdr:rowOff>
    </xdr:from>
    <xdr:ext cx="1379032" cy="342851"/>
    <xdr:sp macro="" textlink="">
      <xdr:nvSpPr>
        <xdr:cNvPr id="18" name="Rectangle 17">
          <a:extLst>
            <a:ext uri="{FF2B5EF4-FFF2-40B4-BE49-F238E27FC236}">
              <a16:creationId xmlns:a16="http://schemas.microsoft.com/office/drawing/2014/main" id="{83F0B225-C142-E063-5883-DE5FE2E915DE}"/>
            </a:ext>
          </a:extLst>
        </xdr:cNvPr>
        <xdr:cNvSpPr/>
      </xdr:nvSpPr>
      <xdr:spPr>
        <a:xfrm>
          <a:off x="990401" y="1484502"/>
          <a:ext cx="1379032" cy="342851"/>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Total Revenue</a:t>
          </a:r>
        </a:p>
      </xdr:txBody>
    </xdr:sp>
    <xdr:clientData/>
  </xdr:oneCellAnchor>
  <xdr:oneCellAnchor>
    <xdr:from>
      <xdr:col>0</xdr:col>
      <xdr:colOff>365728</xdr:colOff>
      <xdr:row>13</xdr:row>
      <xdr:rowOff>166615</xdr:rowOff>
    </xdr:from>
    <xdr:ext cx="1342419" cy="342851"/>
    <xdr:sp macro="" textlink="">
      <xdr:nvSpPr>
        <xdr:cNvPr id="19" name="Rectangle 18">
          <a:extLst>
            <a:ext uri="{FF2B5EF4-FFF2-40B4-BE49-F238E27FC236}">
              <a16:creationId xmlns:a16="http://schemas.microsoft.com/office/drawing/2014/main" id="{B9149A80-B203-49F5-918A-95F734F5E12C}"/>
            </a:ext>
          </a:extLst>
        </xdr:cNvPr>
        <xdr:cNvSpPr/>
      </xdr:nvSpPr>
      <xdr:spPr>
        <a:xfrm>
          <a:off x="973119" y="2535441"/>
          <a:ext cx="1342419" cy="342851"/>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Top customer</a:t>
          </a:r>
        </a:p>
      </xdr:txBody>
    </xdr:sp>
    <xdr:clientData/>
  </xdr:oneCellAnchor>
  <xdr:oneCellAnchor>
    <xdr:from>
      <xdr:col>0</xdr:col>
      <xdr:colOff>372122</xdr:colOff>
      <xdr:row>20</xdr:row>
      <xdr:rowOff>8814</xdr:rowOff>
    </xdr:from>
    <xdr:ext cx="1744708" cy="342851"/>
    <xdr:sp macro="" textlink="">
      <xdr:nvSpPr>
        <xdr:cNvPr id="20" name="Rectangle 19">
          <a:extLst>
            <a:ext uri="{FF2B5EF4-FFF2-40B4-BE49-F238E27FC236}">
              <a16:creationId xmlns:a16="http://schemas.microsoft.com/office/drawing/2014/main" id="{251A0712-D399-DE29-B103-AF282DF476E7}"/>
            </a:ext>
          </a:extLst>
        </xdr:cNvPr>
        <xdr:cNvSpPr/>
      </xdr:nvSpPr>
      <xdr:spPr>
        <a:xfrm>
          <a:off x="979513" y="3653162"/>
          <a:ext cx="1744708" cy="342851"/>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Most  sold product</a:t>
          </a:r>
        </a:p>
      </xdr:txBody>
    </xdr:sp>
    <xdr:clientData/>
  </xdr:oneCellAnchor>
  <xdr:oneCellAnchor>
    <xdr:from>
      <xdr:col>0</xdr:col>
      <xdr:colOff>382501</xdr:colOff>
      <xdr:row>26</xdr:row>
      <xdr:rowOff>61610</xdr:rowOff>
    </xdr:from>
    <xdr:ext cx="1411027" cy="342851"/>
    <xdr:sp macro="" textlink="">
      <xdr:nvSpPr>
        <xdr:cNvPr id="21" name="Rectangle 20">
          <a:extLst>
            <a:ext uri="{FF2B5EF4-FFF2-40B4-BE49-F238E27FC236}">
              <a16:creationId xmlns:a16="http://schemas.microsoft.com/office/drawing/2014/main" id="{39B739BF-92B2-553E-1782-4ECA0302BB97}"/>
            </a:ext>
          </a:extLst>
        </xdr:cNvPr>
        <xdr:cNvSpPr/>
      </xdr:nvSpPr>
      <xdr:spPr>
        <a:xfrm>
          <a:off x="989892" y="4799262"/>
          <a:ext cx="1411027" cy="342851"/>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Regional sales</a:t>
          </a:r>
        </a:p>
      </xdr:txBody>
    </xdr:sp>
    <xdr:clientData/>
  </xdr:oneCellAnchor>
  <xdr:twoCellAnchor editAs="oneCell">
    <xdr:from>
      <xdr:col>6</xdr:col>
      <xdr:colOff>0</xdr:colOff>
      <xdr:row>1</xdr:row>
      <xdr:rowOff>70555</xdr:rowOff>
    </xdr:from>
    <xdr:to>
      <xdr:col>18</xdr:col>
      <xdr:colOff>176388</xdr:colOff>
      <xdr:row>6</xdr:row>
      <xdr:rowOff>80432</xdr:rowOff>
    </xdr:to>
    <mc:AlternateContent xmlns:mc="http://schemas.openxmlformats.org/markup-compatibility/2006" xmlns:tsle="http://schemas.microsoft.com/office/drawing/2012/timeslicer">
      <mc:Choice Requires="tsle">
        <xdr:graphicFrame macro="">
          <xdr:nvGraphicFramePr>
            <xdr:cNvPr id="22" name="Date 1">
              <a:extLst>
                <a:ext uri="{FF2B5EF4-FFF2-40B4-BE49-F238E27FC236}">
                  <a16:creationId xmlns:a16="http://schemas.microsoft.com/office/drawing/2014/main" id="{BC4CEE5B-BB09-4F97-BDD3-6532A46525F3}"/>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277264" y="250272"/>
              <a:ext cx="7508841" cy="90846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183446</xdr:colOff>
      <xdr:row>8</xdr:row>
      <xdr:rowOff>63500</xdr:rowOff>
    </xdr:from>
    <xdr:to>
      <xdr:col>18</xdr:col>
      <xdr:colOff>245614</xdr:colOff>
      <xdr:row>18</xdr:row>
      <xdr:rowOff>21168</xdr:rowOff>
    </xdr:to>
    <mc:AlternateContent xmlns:mc="http://schemas.openxmlformats.org/markup-compatibility/2006" xmlns:a14="http://schemas.microsoft.com/office/drawing/2010/main">
      <mc:Choice Requires="a14">
        <xdr:graphicFrame macro="">
          <xdr:nvGraphicFramePr>
            <xdr:cNvPr id="23" name="Product_Name">
              <a:extLst>
                <a:ext uri="{FF2B5EF4-FFF2-40B4-BE49-F238E27FC236}">
                  <a16:creationId xmlns:a16="http://schemas.microsoft.com/office/drawing/2014/main" id="{B6CCF59B-33BD-4F63-BFB9-147645438537}"/>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9960050" y="1501236"/>
              <a:ext cx="1895281" cy="1754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278614</xdr:colOff>
      <xdr:row>20</xdr:row>
      <xdr:rowOff>55584</xdr:rowOff>
    </xdr:from>
    <xdr:to>
      <xdr:col>18</xdr:col>
      <xdr:colOff>265068</xdr:colOff>
      <xdr:row>30</xdr:row>
      <xdr:rowOff>107954</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6C6E6B63-8E11-454D-93FF-212922F7A1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55218" y="3649924"/>
              <a:ext cx="1819567" cy="1849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399645</xdr:colOff>
      <xdr:row>15</xdr:row>
      <xdr:rowOff>183471</xdr:rowOff>
    </xdr:from>
    <xdr:ext cx="1047980" cy="264560"/>
    <xdr:sp macro="" textlink="analysis!AY2">
      <xdr:nvSpPr>
        <xdr:cNvPr id="25" name="Rectangle 24">
          <a:extLst>
            <a:ext uri="{FF2B5EF4-FFF2-40B4-BE49-F238E27FC236}">
              <a16:creationId xmlns:a16="http://schemas.microsoft.com/office/drawing/2014/main" id="{F4583D10-3F5E-D318-6D83-5E4C062198B3}"/>
            </a:ext>
          </a:extLst>
        </xdr:cNvPr>
        <xdr:cNvSpPr/>
      </xdr:nvSpPr>
      <xdr:spPr>
        <a:xfrm>
          <a:off x="1011554" y="2954380"/>
          <a:ext cx="1047980" cy="264560"/>
        </a:xfrm>
        <a:prstGeom prst="rect">
          <a:avLst/>
        </a:prstGeom>
        <a:noFill/>
      </xdr:spPr>
      <xdr:txBody>
        <a:bodyPr wrap="none" lIns="91440" tIns="45720" rIns="91440" bIns="45720">
          <a:spAutoFit/>
        </a:bodyPr>
        <a:lstStyle/>
        <a:p>
          <a:pPr algn="ctr"/>
          <a:fld id="{9A3D989A-09C8-44A0-BA7A-EE8B649AC208}"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Aptos Narrow"/>
            </a:rPr>
            <a:t>Joseph Jackson</a:t>
          </a:fld>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0</xdr:col>
      <xdr:colOff>384459</xdr:colOff>
      <xdr:row>22</xdr:row>
      <xdr:rowOff>107673</xdr:rowOff>
    </xdr:from>
    <xdr:ext cx="617541" cy="264560"/>
    <xdr:sp macro="" textlink="analysis!AZ2">
      <xdr:nvSpPr>
        <xdr:cNvPr id="26" name="Rectangle 25">
          <a:extLst>
            <a:ext uri="{FF2B5EF4-FFF2-40B4-BE49-F238E27FC236}">
              <a16:creationId xmlns:a16="http://schemas.microsoft.com/office/drawing/2014/main" id="{4FCB714A-A7B5-CC2F-732F-4F787409C73B}"/>
            </a:ext>
          </a:extLst>
        </xdr:cNvPr>
        <xdr:cNvSpPr/>
      </xdr:nvSpPr>
      <xdr:spPr>
        <a:xfrm>
          <a:off x="991850" y="4116456"/>
          <a:ext cx="617541" cy="264560"/>
        </a:xfrm>
        <a:prstGeom prst="rect">
          <a:avLst/>
        </a:prstGeom>
        <a:noFill/>
      </xdr:spPr>
      <xdr:txBody>
        <a:bodyPr wrap="none" lIns="91440" tIns="45720" rIns="91440" bIns="45720">
          <a:spAutoFit/>
        </a:bodyPr>
        <a:lstStyle/>
        <a:p>
          <a:pPr algn="ctr"/>
          <a:fld id="{F6005280-A5FB-4657-9C2F-16400C4B59E9}"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Aptos Narrow"/>
            </a:rPr>
            <a:t>Monitor</a:t>
          </a:fld>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0</xdr:col>
      <xdr:colOff>394679</xdr:colOff>
      <xdr:row>28</xdr:row>
      <xdr:rowOff>148834</xdr:rowOff>
    </xdr:from>
    <xdr:ext cx="503729" cy="264560"/>
    <xdr:sp macro="" textlink="analysis!BA2">
      <xdr:nvSpPr>
        <xdr:cNvPr id="27" name="Rectangle 26">
          <a:extLst>
            <a:ext uri="{FF2B5EF4-FFF2-40B4-BE49-F238E27FC236}">
              <a16:creationId xmlns:a16="http://schemas.microsoft.com/office/drawing/2014/main" id="{8F2ED4AD-FEC2-3A99-DF98-7A37BEEEBEB3}"/>
            </a:ext>
          </a:extLst>
        </xdr:cNvPr>
        <xdr:cNvSpPr/>
      </xdr:nvSpPr>
      <xdr:spPr>
        <a:xfrm>
          <a:off x="1006588" y="5321198"/>
          <a:ext cx="503729" cy="264560"/>
        </a:xfrm>
        <a:prstGeom prst="rect">
          <a:avLst/>
        </a:prstGeom>
        <a:noFill/>
      </xdr:spPr>
      <xdr:txBody>
        <a:bodyPr wrap="none" lIns="91440" tIns="45720" rIns="91440" bIns="45720">
          <a:spAutoFit/>
        </a:bodyPr>
        <a:lstStyle/>
        <a:p>
          <a:pPr algn="ctr"/>
          <a:fld id="{C7566248-B557-4AB2-8D10-CFB47D2E0188}"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Aptos Narrow"/>
            </a:rPr>
            <a:t>North</a:t>
          </a:fld>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0</xdr:col>
      <xdr:colOff>428067</xdr:colOff>
      <xdr:row>10</xdr:row>
      <xdr:rowOff>89100</xdr:rowOff>
    </xdr:from>
    <xdr:ext cx="793359" cy="264560"/>
    <xdr:sp macro="" textlink="analysis!BB2">
      <xdr:nvSpPr>
        <xdr:cNvPr id="28" name="Rectangle 27">
          <a:extLst>
            <a:ext uri="{FF2B5EF4-FFF2-40B4-BE49-F238E27FC236}">
              <a16:creationId xmlns:a16="http://schemas.microsoft.com/office/drawing/2014/main" id="{59440790-DED8-DE64-B94E-69CD68DCCD24}"/>
            </a:ext>
          </a:extLst>
        </xdr:cNvPr>
        <xdr:cNvSpPr/>
      </xdr:nvSpPr>
      <xdr:spPr>
        <a:xfrm>
          <a:off x="1035458" y="1911274"/>
          <a:ext cx="793359" cy="264560"/>
        </a:xfrm>
        <a:prstGeom prst="rect">
          <a:avLst/>
        </a:prstGeom>
        <a:noFill/>
      </xdr:spPr>
      <xdr:txBody>
        <a:bodyPr wrap="none" lIns="91440" tIns="45720" rIns="91440" bIns="45720">
          <a:spAutoFit/>
        </a:bodyPr>
        <a:lstStyle/>
        <a:p>
          <a:pPr algn="ctr"/>
          <a:fld id="{5FE3BAE3-AEF3-4451-8DCF-A57E56FF17B2}"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Aptos Narrow"/>
            </a:rPr>
            <a:t>229192.47</a:t>
          </a:fld>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xdr:col>
      <xdr:colOff>138461</xdr:colOff>
      <xdr:row>8</xdr:row>
      <xdr:rowOff>114587</xdr:rowOff>
    </xdr:from>
    <xdr:to>
      <xdr:col>3</xdr:col>
      <xdr:colOff>467897</xdr:colOff>
      <xdr:row>12</xdr:row>
      <xdr:rowOff>95488</xdr:rowOff>
    </xdr:to>
    <xdr:graphicFrame macro="">
      <xdr:nvGraphicFramePr>
        <xdr:cNvPr id="29" name="Chart 28">
          <a:extLst>
            <a:ext uri="{FF2B5EF4-FFF2-40B4-BE49-F238E27FC236}">
              <a16:creationId xmlns:a16="http://schemas.microsoft.com/office/drawing/2014/main" id="{8BE5441A-AC42-4375-844D-DF10F25E5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0.23323</cdr:x>
      <cdr:y>0.38158</cdr:y>
    </cdr:from>
    <cdr:to>
      <cdr:x>0.8886</cdr:x>
      <cdr:y>0.74814</cdr:y>
    </cdr:to>
    <cdr:sp macro="" textlink="visualizations!$S$5">
      <cdr:nvSpPr>
        <cdr:cNvPr id="2" name="Rectangle 1">
          <a:extLst xmlns:a="http://schemas.openxmlformats.org/drawingml/2006/main">
            <a:ext uri="{FF2B5EF4-FFF2-40B4-BE49-F238E27FC236}">
              <a16:creationId xmlns:a16="http://schemas.microsoft.com/office/drawing/2014/main" id="{8368CAF6-8D80-0C05-00D4-367EE1FA321E}"/>
            </a:ext>
          </a:extLst>
        </cdr:cNvPr>
        <cdr:cNvSpPr/>
      </cdr:nvSpPr>
      <cdr:spPr>
        <a:xfrm xmlns:a="http://schemas.openxmlformats.org/drawingml/2006/main">
          <a:off x="218765" y="275399"/>
          <a:ext cx="614719" cy="264560"/>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fld id="{B783AF7C-958B-495F-A9DC-29AE51655135}"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Aptos Narrow"/>
            </a:rPr>
            <a:t>91.68%</a:t>
          </a:fld>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t Anghan" refreshedDate="45981.937228240742" createdVersion="8" refreshedVersion="8" minRefreshableVersion="3" recordCount="250" xr:uid="{F47B16C1-7527-4A4A-9776-2F1AA46ABA83}">
  <cacheSource type="worksheet">
    <worksheetSource name="data"/>
  </cacheSource>
  <cacheFields count="15">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0">
      <sharedItems containsSemiMixedTypes="0" containsString="0" containsNumber="1" minValue="59.99" maxValue="4499.95"/>
    </cacheField>
    <cacheField name="Today" numFmtId="0">
      <sharedItems containsNonDate="0" containsString="0" containsBlank="1"/>
    </cacheField>
  </cacheFields>
  <extLst>
    <ext xmlns:x14="http://schemas.microsoft.com/office/spreadsheetml/2009/9/main" uri="{725AE2AE-9491-48be-B2B4-4EB974FC3084}">
      <x14:pivotCacheDefinition pivotCacheId="1712865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x v="0"/>
    <n v="249.99"/>
    <s v="Cash"/>
    <x v="0"/>
    <x v="0"/>
    <x v="0"/>
    <n v="749.97"/>
    <m/>
  </r>
  <r>
    <s v="TRX0023"/>
    <x v="1"/>
    <s v="CUST013"/>
    <x v="1"/>
    <s v="P009"/>
    <x v="0"/>
    <x v="0"/>
    <x v="0"/>
    <n v="249.99"/>
    <s v="Credit Card"/>
    <x v="0"/>
    <x v="1"/>
    <x v="1"/>
    <n v="749.97"/>
    <m/>
  </r>
  <r>
    <s v="TRX0139"/>
    <x v="2"/>
    <s v="CUST021"/>
    <x v="2"/>
    <s v="P005"/>
    <x v="1"/>
    <x v="1"/>
    <x v="0"/>
    <n v="59.99"/>
    <s v="PayPal"/>
    <x v="1"/>
    <x v="2"/>
    <x v="2"/>
    <n v="179.97"/>
    <m/>
  </r>
  <r>
    <s v="TRX0043"/>
    <x v="3"/>
    <s v="CUST046"/>
    <x v="3"/>
    <s v="P005"/>
    <x v="1"/>
    <x v="1"/>
    <x v="0"/>
    <n v="59.99"/>
    <s v="Cash"/>
    <x v="2"/>
    <x v="1"/>
    <x v="3"/>
    <n v="179.97"/>
    <m/>
  </r>
  <r>
    <s v="TRX0212"/>
    <x v="3"/>
    <s v="CUST003"/>
    <x v="4"/>
    <s v="P008"/>
    <x v="2"/>
    <x v="2"/>
    <x v="1"/>
    <n v="149.99"/>
    <s v="Credit Card"/>
    <x v="2"/>
    <x v="1"/>
    <x v="4"/>
    <n v="749.95"/>
    <m/>
  </r>
  <r>
    <s v="TRX0092"/>
    <x v="4"/>
    <s v="CUST024"/>
    <x v="5"/>
    <s v="P005"/>
    <x v="1"/>
    <x v="1"/>
    <x v="2"/>
    <n v="59.99"/>
    <s v="Cash"/>
    <x v="3"/>
    <x v="2"/>
    <x v="5"/>
    <n v="119.98"/>
    <m/>
  </r>
  <r>
    <s v="TRX0193"/>
    <x v="4"/>
    <s v="CUST024"/>
    <x v="5"/>
    <s v="P003"/>
    <x v="3"/>
    <x v="0"/>
    <x v="1"/>
    <n v="149.99"/>
    <s v="Credit Card"/>
    <x v="0"/>
    <x v="2"/>
    <x v="6"/>
    <n v="749.95"/>
    <m/>
  </r>
  <r>
    <s v="TRX0240"/>
    <x v="4"/>
    <s v="CUST017"/>
    <x v="6"/>
    <s v="P005"/>
    <x v="1"/>
    <x v="1"/>
    <x v="0"/>
    <n v="59.99"/>
    <s v="Debit Card"/>
    <x v="1"/>
    <x v="0"/>
    <x v="7"/>
    <n v="179.97"/>
    <m/>
  </r>
  <r>
    <s v="TRX0135"/>
    <x v="5"/>
    <s v="CUST009"/>
    <x v="7"/>
    <s v="P001"/>
    <x v="4"/>
    <x v="0"/>
    <x v="0"/>
    <n v="899.99"/>
    <s v="PayPal"/>
    <x v="4"/>
    <x v="2"/>
    <x v="8"/>
    <n v="2699.97"/>
    <m/>
  </r>
  <r>
    <s v="TRX0185"/>
    <x v="6"/>
    <s v="CUST026"/>
    <x v="8"/>
    <s v="P005"/>
    <x v="1"/>
    <x v="1"/>
    <x v="0"/>
    <n v="59.99"/>
    <s v="Cash"/>
    <x v="3"/>
    <x v="1"/>
    <x v="9"/>
    <n v="179.97"/>
    <m/>
  </r>
  <r>
    <s v="TRX0138"/>
    <x v="6"/>
    <s v="CUST022"/>
    <x v="9"/>
    <s v="P008"/>
    <x v="2"/>
    <x v="2"/>
    <x v="3"/>
    <n v="149.99"/>
    <s v="Credit Card"/>
    <x v="3"/>
    <x v="2"/>
    <x v="10"/>
    <n v="149.99"/>
    <m/>
  </r>
  <r>
    <s v="TRX0209"/>
    <x v="6"/>
    <s v="CUST046"/>
    <x v="3"/>
    <s v="P008"/>
    <x v="2"/>
    <x v="2"/>
    <x v="1"/>
    <n v="149.99"/>
    <s v="Debit Card"/>
    <x v="2"/>
    <x v="0"/>
    <x v="11"/>
    <n v="749.95"/>
    <m/>
  </r>
  <r>
    <s v="TRX0246"/>
    <x v="6"/>
    <s v="CUST041"/>
    <x v="10"/>
    <s v="P008"/>
    <x v="2"/>
    <x v="2"/>
    <x v="0"/>
    <n v="149.99"/>
    <s v="Cash"/>
    <x v="2"/>
    <x v="1"/>
    <x v="12"/>
    <n v="449.97"/>
    <m/>
  </r>
  <r>
    <s v="TRX0067"/>
    <x v="7"/>
    <s v="CUST043"/>
    <x v="11"/>
    <s v="P005"/>
    <x v="1"/>
    <x v="1"/>
    <x v="0"/>
    <n v="59.99"/>
    <s v="Credit Card"/>
    <x v="2"/>
    <x v="2"/>
    <x v="13"/>
    <n v="179.97"/>
    <m/>
  </r>
  <r>
    <s v="TRX0191"/>
    <x v="7"/>
    <s v="CUST038"/>
    <x v="12"/>
    <s v="P002"/>
    <x v="5"/>
    <x v="0"/>
    <x v="0"/>
    <n v="699.99"/>
    <s v="Credit Card"/>
    <x v="3"/>
    <x v="0"/>
    <x v="14"/>
    <n v="2099.9699999999998"/>
    <m/>
  </r>
  <r>
    <s v="TRX0230"/>
    <x v="7"/>
    <s v="CUST027"/>
    <x v="13"/>
    <s v="P001"/>
    <x v="4"/>
    <x v="0"/>
    <x v="3"/>
    <n v="899.99"/>
    <s v="Debit Card"/>
    <x v="2"/>
    <x v="2"/>
    <x v="15"/>
    <n v="899.99"/>
    <m/>
  </r>
  <r>
    <s v="TRX0049"/>
    <x v="8"/>
    <s v="CUST025"/>
    <x v="14"/>
    <s v="P008"/>
    <x v="2"/>
    <x v="2"/>
    <x v="4"/>
    <n v="149.99"/>
    <s v="Debit Card"/>
    <x v="2"/>
    <x v="1"/>
    <x v="16"/>
    <n v="599.96"/>
    <m/>
  </r>
  <r>
    <s v="TRX0134"/>
    <x v="8"/>
    <s v="CUST010"/>
    <x v="15"/>
    <s v="P002"/>
    <x v="5"/>
    <x v="0"/>
    <x v="2"/>
    <n v="699.99"/>
    <s v="Cash"/>
    <x v="2"/>
    <x v="0"/>
    <x v="17"/>
    <n v="1399.98"/>
    <m/>
  </r>
  <r>
    <s v="TRX0122"/>
    <x v="8"/>
    <s v="CUST025"/>
    <x v="14"/>
    <s v="P001"/>
    <x v="4"/>
    <x v="0"/>
    <x v="4"/>
    <n v="899.99"/>
    <s v="Credit Card"/>
    <x v="3"/>
    <x v="2"/>
    <x v="18"/>
    <n v="3599.96"/>
    <m/>
  </r>
  <r>
    <s v="TRX0222"/>
    <x v="8"/>
    <s v="CUST048"/>
    <x v="16"/>
    <s v="P009"/>
    <x v="0"/>
    <x v="0"/>
    <x v="0"/>
    <n v="249.99"/>
    <s v="Credit Card"/>
    <x v="2"/>
    <x v="1"/>
    <x v="19"/>
    <n v="749.97"/>
    <m/>
  </r>
  <r>
    <s v="TRX0231"/>
    <x v="9"/>
    <s v="CUST018"/>
    <x v="17"/>
    <s v="P002"/>
    <x v="5"/>
    <x v="0"/>
    <x v="1"/>
    <n v="699.99"/>
    <s v="Cash"/>
    <x v="3"/>
    <x v="0"/>
    <x v="20"/>
    <n v="3499.95"/>
    <m/>
  </r>
  <r>
    <s v="TRX0239"/>
    <x v="10"/>
    <s v="CUST012"/>
    <x v="18"/>
    <s v="P002"/>
    <x v="5"/>
    <x v="0"/>
    <x v="4"/>
    <n v="699.99"/>
    <s v="Cash"/>
    <x v="4"/>
    <x v="2"/>
    <x v="21"/>
    <n v="2799.96"/>
    <m/>
  </r>
  <r>
    <s v="TRX0204"/>
    <x v="11"/>
    <s v="CUST044"/>
    <x v="19"/>
    <s v="P009"/>
    <x v="0"/>
    <x v="0"/>
    <x v="4"/>
    <n v="249.99"/>
    <s v="PayPal"/>
    <x v="2"/>
    <x v="2"/>
    <x v="22"/>
    <n v="999.96"/>
    <m/>
  </r>
  <r>
    <s v="TRX0242"/>
    <x v="12"/>
    <s v="CUST025"/>
    <x v="14"/>
    <s v="P007"/>
    <x v="6"/>
    <x v="2"/>
    <x v="4"/>
    <n v="299.99"/>
    <s v="Cash"/>
    <x v="3"/>
    <x v="1"/>
    <x v="23"/>
    <n v="1199.96"/>
    <m/>
  </r>
  <r>
    <s v="TRX0071"/>
    <x v="13"/>
    <s v="CUST036"/>
    <x v="20"/>
    <s v="P009"/>
    <x v="0"/>
    <x v="0"/>
    <x v="1"/>
    <n v="249.99"/>
    <s v="Credit Card"/>
    <x v="3"/>
    <x v="2"/>
    <x v="24"/>
    <n v="1249.95"/>
    <m/>
  </r>
  <r>
    <s v="TRX0040"/>
    <x v="14"/>
    <s v="CUST022"/>
    <x v="9"/>
    <s v="P007"/>
    <x v="6"/>
    <x v="2"/>
    <x v="1"/>
    <n v="299.99"/>
    <s v="PayPal"/>
    <x v="4"/>
    <x v="0"/>
    <x v="25"/>
    <n v="1499.95"/>
    <m/>
  </r>
  <r>
    <s v="TRX0235"/>
    <x v="14"/>
    <s v="CUST014"/>
    <x v="21"/>
    <s v="P004"/>
    <x v="7"/>
    <x v="1"/>
    <x v="0"/>
    <n v="79.989999999999995"/>
    <s v="PayPal"/>
    <x v="4"/>
    <x v="1"/>
    <x v="26"/>
    <n v="239.97"/>
    <m/>
  </r>
  <r>
    <s v="TRX0004"/>
    <x v="14"/>
    <s v="CUST012"/>
    <x v="18"/>
    <s v="P010"/>
    <x v="8"/>
    <x v="0"/>
    <x v="1"/>
    <n v="89.99"/>
    <s v="Cash"/>
    <x v="2"/>
    <x v="1"/>
    <x v="27"/>
    <n v="449.95"/>
    <m/>
  </r>
  <r>
    <s v="TRX0063"/>
    <x v="15"/>
    <s v="CUST030"/>
    <x v="22"/>
    <s v="P005"/>
    <x v="1"/>
    <x v="1"/>
    <x v="2"/>
    <n v="59.99"/>
    <s v="Debit Card"/>
    <x v="0"/>
    <x v="2"/>
    <x v="28"/>
    <n v="119.98"/>
    <m/>
  </r>
  <r>
    <s v="TRX0241"/>
    <x v="16"/>
    <s v="CUST029"/>
    <x v="23"/>
    <s v="P005"/>
    <x v="1"/>
    <x v="1"/>
    <x v="4"/>
    <n v="59.99"/>
    <s v="Debit Card"/>
    <x v="4"/>
    <x v="2"/>
    <x v="29"/>
    <n v="239.96"/>
    <m/>
  </r>
  <r>
    <s v="TRX0029"/>
    <x v="16"/>
    <s v="CUST017"/>
    <x v="6"/>
    <s v="P006"/>
    <x v="9"/>
    <x v="2"/>
    <x v="1"/>
    <n v="199.99"/>
    <s v="Cash"/>
    <x v="1"/>
    <x v="2"/>
    <x v="30"/>
    <n v="999.95"/>
    <m/>
  </r>
  <r>
    <s v="TRX0194"/>
    <x v="17"/>
    <s v="CUST006"/>
    <x v="24"/>
    <s v="P008"/>
    <x v="2"/>
    <x v="2"/>
    <x v="2"/>
    <n v="149.99"/>
    <s v="Credit Card"/>
    <x v="3"/>
    <x v="0"/>
    <x v="31"/>
    <n v="299.98"/>
    <m/>
  </r>
  <r>
    <s v="TRX0130"/>
    <x v="18"/>
    <s v="CUST002"/>
    <x v="25"/>
    <s v="P008"/>
    <x v="2"/>
    <x v="2"/>
    <x v="0"/>
    <n v="149.99"/>
    <s v="Credit Card"/>
    <x v="3"/>
    <x v="1"/>
    <x v="32"/>
    <n v="449.97"/>
    <m/>
  </r>
  <r>
    <s v="TRX0041"/>
    <x v="19"/>
    <s v="CUST021"/>
    <x v="2"/>
    <s v="P001"/>
    <x v="4"/>
    <x v="0"/>
    <x v="3"/>
    <n v="899.99"/>
    <s v="Credit Card"/>
    <x v="3"/>
    <x v="1"/>
    <x v="33"/>
    <n v="899.99"/>
    <m/>
  </r>
  <r>
    <s v="TRX0232"/>
    <x v="20"/>
    <s v="CUST012"/>
    <x v="18"/>
    <s v="P007"/>
    <x v="6"/>
    <x v="2"/>
    <x v="0"/>
    <n v="299.99"/>
    <s v="Credit Card"/>
    <x v="4"/>
    <x v="0"/>
    <x v="34"/>
    <n v="899.97"/>
    <m/>
  </r>
  <r>
    <s v="TRX0021"/>
    <x v="21"/>
    <s v="CUST006"/>
    <x v="24"/>
    <s v="P004"/>
    <x v="7"/>
    <x v="1"/>
    <x v="0"/>
    <n v="79.989999999999995"/>
    <s v="Cash"/>
    <x v="1"/>
    <x v="0"/>
    <x v="35"/>
    <n v="239.97"/>
    <m/>
  </r>
  <r>
    <s v="TRX0245"/>
    <x v="22"/>
    <s v="CUST031"/>
    <x v="26"/>
    <s v="P006"/>
    <x v="9"/>
    <x v="2"/>
    <x v="0"/>
    <n v="199.99"/>
    <s v="Credit Card"/>
    <x v="2"/>
    <x v="1"/>
    <x v="36"/>
    <n v="599.97"/>
    <m/>
  </r>
  <r>
    <s v="TRX0015"/>
    <x v="23"/>
    <s v="CUST008"/>
    <x v="27"/>
    <s v="P002"/>
    <x v="5"/>
    <x v="0"/>
    <x v="1"/>
    <n v="699.99"/>
    <s v="PayPal"/>
    <x v="3"/>
    <x v="2"/>
    <x v="37"/>
    <n v="3499.95"/>
    <m/>
  </r>
  <r>
    <s v="TRX0202"/>
    <x v="24"/>
    <s v="CUST035"/>
    <x v="28"/>
    <s v="P010"/>
    <x v="8"/>
    <x v="0"/>
    <x v="0"/>
    <n v="89.99"/>
    <s v="PayPal"/>
    <x v="0"/>
    <x v="1"/>
    <x v="38"/>
    <n v="269.97000000000003"/>
    <m/>
  </r>
  <r>
    <s v="TRX0042"/>
    <x v="25"/>
    <s v="CUST019"/>
    <x v="29"/>
    <s v="P004"/>
    <x v="7"/>
    <x v="1"/>
    <x v="3"/>
    <n v="79.989999999999995"/>
    <s v="Cash"/>
    <x v="2"/>
    <x v="2"/>
    <x v="39"/>
    <n v="79.989999999999995"/>
    <m/>
  </r>
  <r>
    <s v="TRX0128"/>
    <x v="26"/>
    <s v="CUST040"/>
    <x v="30"/>
    <s v="P005"/>
    <x v="1"/>
    <x v="1"/>
    <x v="2"/>
    <n v="59.99"/>
    <s v="Cash"/>
    <x v="3"/>
    <x v="0"/>
    <x v="40"/>
    <n v="119.98"/>
    <m/>
  </r>
  <r>
    <s v="TRX0117"/>
    <x v="26"/>
    <s v="CUST017"/>
    <x v="6"/>
    <s v="P010"/>
    <x v="8"/>
    <x v="0"/>
    <x v="3"/>
    <n v="89.99"/>
    <s v="Cash"/>
    <x v="2"/>
    <x v="0"/>
    <x v="41"/>
    <n v="89.99"/>
    <m/>
  </r>
  <r>
    <s v="TRX0208"/>
    <x v="27"/>
    <s v="CUST004"/>
    <x v="31"/>
    <s v="P010"/>
    <x v="8"/>
    <x v="0"/>
    <x v="1"/>
    <n v="89.99"/>
    <s v="Credit Card"/>
    <x v="4"/>
    <x v="2"/>
    <x v="42"/>
    <n v="449.95"/>
    <m/>
  </r>
  <r>
    <s v="TRX0234"/>
    <x v="28"/>
    <s v="CUST013"/>
    <x v="1"/>
    <s v="P009"/>
    <x v="0"/>
    <x v="0"/>
    <x v="1"/>
    <n v="249.99"/>
    <s v="Credit Card"/>
    <x v="4"/>
    <x v="2"/>
    <x v="43"/>
    <n v="1249.95"/>
    <m/>
  </r>
  <r>
    <s v="TRX0121"/>
    <x v="28"/>
    <s v="CUST028"/>
    <x v="32"/>
    <s v="P010"/>
    <x v="8"/>
    <x v="0"/>
    <x v="3"/>
    <n v="89.99"/>
    <s v="Credit Card"/>
    <x v="1"/>
    <x v="2"/>
    <x v="44"/>
    <n v="89.99"/>
    <m/>
  </r>
  <r>
    <s v="TRX0220"/>
    <x v="29"/>
    <s v="CUST003"/>
    <x v="4"/>
    <s v="P008"/>
    <x v="2"/>
    <x v="2"/>
    <x v="2"/>
    <n v="149.99"/>
    <s v="Cash"/>
    <x v="4"/>
    <x v="1"/>
    <x v="45"/>
    <n v="299.98"/>
    <m/>
  </r>
  <r>
    <s v="TRX0093"/>
    <x v="30"/>
    <s v="CUST050"/>
    <x v="33"/>
    <s v="P005"/>
    <x v="1"/>
    <x v="1"/>
    <x v="4"/>
    <n v="59.99"/>
    <s v="Cash"/>
    <x v="4"/>
    <x v="2"/>
    <x v="46"/>
    <n v="239.96"/>
    <m/>
  </r>
  <r>
    <s v="TRX0088"/>
    <x v="31"/>
    <s v="CUST006"/>
    <x v="24"/>
    <s v="P010"/>
    <x v="8"/>
    <x v="0"/>
    <x v="1"/>
    <n v="89.99"/>
    <s v="Cash"/>
    <x v="0"/>
    <x v="1"/>
    <x v="47"/>
    <n v="449.95"/>
    <m/>
  </r>
  <r>
    <s v="TRX0115"/>
    <x v="32"/>
    <s v="CUST012"/>
    <x v="18"/>
    <s v="P010"/>
    <x v="8"/>
    <x v="0"/>
    <x v="2"/>
    <n v="89.99"/>
    <s v="Credit Card"/>
    <x v="1"/>
    <x v="1"/>
    <x v="48"/>
    <n v="179.98"/>
    <m/>
  </r>
  <r>
    <s v="TRX0154"/>
    <x v="32"/>
    <s v="CUST023"/>
    <x v="0"/>
    <s v="P001"/>
    <x v="4"/>
    <x v="0"/>
    <x v="1"/>
    <n v="899.99"/>
    <s v="Credit Card"/>
    <x v="1"/>
    <x v="2"/>
    <x v="49"/>
    <n v="4499.95"/>
    <m/>
  </r>
  <r>
    <s v="TRX0044"/>
    <x v="32"/>
    <s v="CUST029"/>
    <x v="23"/>
    <s v="P001"/>
    <x v="4"/>
    <x v="0"/>
    <x v="1"/>
    <n v="899.99"/>
    <s v="PayPal"/>
    <x v="4"/>
    <x v="1"/>
    <x v="50"/>
    <n v="4499.95"/>
    <m/>
  </r>
  <r>
    <s v="TRX0061"/>
    <x v="33"/>
    <s v="CUST028"/>
    <x v="32"/>
    <s v="P005"/>
    <x v="1"/>
    <x v="1"/>
    <x v="3"/>
    <n v="59.99"/>
    <s v="Debit Card"/>
    <x v="3"/>
    <x v="1"/>
    <x v="51"/>
    <n v="59.99"/>
    <m/>
  </r>
  <r>
    <s v="TRX0150"/>
    <x v="33"/>
    <s v="CUST008"/>
    <x v="27"/>
    <s v="P007"/>
    <x v="6"/>
    <x v="2"/>
    <x v="2"/>
    <n v="299.99"/>
    <s v="Debit Card"/>
    <x v="4"/>
    <x v="2"/>
    <x v="52"/>
    <n v="599.98"/>
    <m/>
  </r>
  <r>
    <s v="TRX0025"/>
    <x v="34"/>
    <s v="CUST049"/>
    <x v="34"/>
    <s v="P010"/>
    <x v="8"/>
    <x v="0"/>
    <x v="4"/>
    <n v="89.99"/>
    <s v="Debit Card"/>
    <x v="1"/>
    <x v="0"/>
    <x v="53"/>
    <n v="359.96"/>
    <m/>
  </r>
  <r>
    <s v="TRX0078"/>
    <x v="35"/>
    <s v="CUST021"/>
    <x v="2"/>
    <s v="P004"/>
    <x v="7"/>
    <x v="1"/>
    <x v="3"/>
    <n v="79.989999999999995"/>
    <s v="PayPal"/>
    <x v="0"/>
    <x v="1"/>
    <x v="54"/>
    <n v="79.989999999999995"/>
    <m/>
  </r>
  <r>
    <s v="TRX0007"/>
    <x v="35"/>
    <s v="CUST009"/>
    <x v="7"/>
    <s v="P010"/>
    <x v="8"/>
    <x v="0"/>
    <x v="2"/>
    <n v="89.99"/>
    <s v="Cash"/>
    <x v="3"/>
    <x v="0"/>
    <x v="55"/>
    <n v="179.98"/>
    <m/>
  </r>
  <r>
    <s v="TRX0184"/>
    <x v="36"/>
    <s v="CUST046"/>
    <x v="3"/>
    <s v="P002"/>
    <x v="5"/>
    <x v="0"/>
    <x v="0"/>
    <n v="699.99"/>
    <s v="Credit Card"/>
    <x v="4"/>
    <x v="1"/>
    <x v="56"/>
    <n v="2099.9699999999998"/>
    <m/>
  </r>
  <r>
    <s v="TRX0104"/>
    <x v="36"/>
    <s v="CUST012"/>
    <x v="18"/>
    <s v="P001"/>
    <x v="4"/>
    <x v="0"/>
    <x v="4"/>
    <n v="899.99"/>
    <s v="Credit Card"/>
    <x v="4"/>
    <x v="1"/>
    <x v="57"/>
    <n v="3599.96"/>
    <m/>
  </r>
  <r>
    <s v="TRX0127"/>
    <x v="37"/>
    <s v="CUST030"/>
    <x v="22"/>
    <s v="P008"/>
    <x v="2"/>
    <x v="2"/>
    <x v="3"/>
    <n v="149.99"/>
    <s v="PayPal"/>
    <x v="4"/>
    <x v="0"/>
    <x v="58"/>
    <n v="149.99"/>
    <m/>
  </r>
  <r>
    <s v="TRX0096"/>
    <x v="38"/>
    <s v="CUST002"/>
    <x v="25"/>
    <s v="P010"/>
    <x v="8"/>
    <x v="0"/>
    <x v="2"/>
    <n v="89.99"/>
    <s v="PayPal"/>
    <x v="0"/>
    <x v="1"/>
    <x v="59"/>
    <n v="179.98"/>
    <m/>
  </r>
  <r>
    <s v="TRX0192"/>
    <x v="39"/>
    <s v="CUST017"/>
    <x v="6"/>
    <s v="P010"/>
    <x v="8"/>
    <x v="0"/>
    <x v="3"/>
    <n v="89.99"/>
    <s v="PayPal"/>
    <x v="3"/>
    <x v="2"/>
    <x v="60"/>
    <n v="89.99"/>
    <m/>
  </r>
  <r>
    <s v="TRX0052"/>
    <x v="40"/>
    <s v="CUST022"/>
    <x v="9"/>
    <s v="P010"/>
    <x v="8"/>
    <x v="0"/>
    <x v="3"/>
    <n v="89.99"/>
    <s v="Cash"/>
    <x v="1"/>
    <x v="2"/>
    <x v="61"/>
    <n v="89.99"/>
    <m/>
  </r>
  <r>
    <s v="TRX0070"/>
    <x v="40"/>
    <s v="CUST007"/>
    <x v="35"/>
    <s v="P004"/>
    <x v="7"/>
    <x v="1"/>
    <x v="1"/>
    <n v="79.989999999999995"/>
    <s v="Debit Card"/>
    <x v="0"/>
    <x v="0"/>
    <x v="62"/>
    <n v="399.95"/>
    <m/>
  </r>
  <r>
    <s v="TRX0086"/>
    <x v="41"/>
    <s v="CUST020"/>
    <x v="36"/>
    <s v="P008"/>
    <x v="2"/>
    <x v="2"/>
    <x v="3"/>
    <n v="149.99"/>
    <s v="PayPal"/>
    <x v="2"/>
    <x v="0"/>
    <x v="63"/>
    <n v="149.99"/>
    <m/>
  </r>
  <r>
    <s v="TRX0113"/>
    <x v="41"/>
    <s v="CUST003"/>
    <x v="4"/>
    <s v="P002"/>
    <x v="5"/>
    <x v="0"/>
    <x v="2"/>
    <n v="699.99"/>
    <s v="PayPal"/>
    <x v="4"/>
    <x v="1"/>
    <x v="64"/>
    <n v="1399.98"/>
    <m/>
  </r>
  <r>
    <s v="TRX0114"/>
    <x v="41"/>
    <s v="CUST018"/>
    <x v="17"/>
    <s v="P010"/>
    <x v="8"/>
    <x v="0"/>
    <x v="1"/>
    <n v="89.99"/>
    <s v="Debit Card"/>
    <x v="2"/>
    <x v="1"/>
    <x v="65"/>
    <n v="449.95"/>
    <m/>
  </r>
  <r>
    <s v="TRX0136"/>
    <x v="42"/>
    <s v="CUST049"/>
    <x v="34"/>
    <s v="P005"/>
    <x v="1"/>
    <x v="1"/>
    <x v="4"/>
    <n v="59.99"/>
    <s v="Cash"/>
    <x v="1"/>
    <x v="2"/>
    <x v="66"/>
    <n v="239.96"/>
    <m/>
  </r>
  <r>
    <s v="TRX0018"/>
    <x v="43"/>
    <s v="CUST013"/>
    <x v="1"/>
    <s v="P003"/>
    <x v="3"/>
    <x v="0"/>
    <x v="3"/>
    <n v="149.99"/>
    <s v="Cash"/>
    <x v="0"/>
    <x v="2"/>
    <x v="67"/>
    <n v="149.99"/>
    <m/>
  </r>
  <r>
    <s v="TRX0141"/>
    <x v="43"/>
    <s v="CUST033"/>
    <x v="37"/>
    <s v="P007"/>
    <x v="6"/>
    <x v="2"/>
    <x v="3"/>
    <n v="299.99"/>
    <s v="Credit Card"/>
    <x v="2"/>
    <x v="1"/>
    <x v="68"/>
    <n v="299.99"/>
    <m/>
  </r>
  <r>
    <s v="TRX0097"/>
    <x v="44"/>
    <s v="CUST033"/>
    <x v="37"/>
    <s v="P006"/>
    <x v="9"/>
    <x v="2"/>
    <x v="2"/>
    <n v="199.99"/>
    <s v="Cash"/>
    <x v="2"/>
    <x v="0"/>
    <x v="69"/>
    <n v="399.98"/>
    <m/>
  </r>
  <r>
    <s v="TRX0169"/>
    <x v="45"/>
    <s v="CUST047"/>
    <x v="38"/>
    <s v="P005"/>
    <x v="1"/>
    <x v="1"/>
    <x v="0"/>
    <n v="59.99"/>
    <s v="Credit Card"/>
    <x v="3"/>
    <x v="0"/>
    <x v="70"/>
    <n v="179.97"/>
    <m/>
  </r>
  <r>
    <s v="TRX0216"/>
    <x v="45"/>
    <s v="CUST041"/>
    <x v="10"/>
    <s v="P008"/>
    <x v="2"/>
    <x v="2"/>
    <x v="0"/>
    <n v="149.99"/>
    <s v="Cash"/>
    <x v="0"/>
    <x v="1"/>
    <x v="71"/>
    <n v="449.97"/>
    <m/>
  </r>
  <r>
    <s v="TRX0131"/>
    <x v="46"/>
    <s v="CUST026"/>
    <x v="8"/>
    <s v="P006"/>
    <x v="9"/>
    <x v="2"/>
    <x v="0"/>
    <n v="199.99"/>
    <s v="Cash"/>
    <x v="2"/>
    <x v="1"/>
    <x v="72"/>
    <n v="599.97"/>
    <m/>
  </r>
  <r>
    <s v="TRX0162"/>
    <x v="47"/>
    <s v="CUST040"/>
    <x v="30"/>
    <s v="P001"/>
    <x v="4"/>
    <x v="0"/>
    <x v="3"/>
    <n v="899.99"/>
    <s v="Cash"/>
    <x v="0"/>
    <x v="2"/>
    <x v="73"/>
    <n v="899.99"/>
    <m/>
  </r>
  <r>
    <s v="TRX0244"/>
    <x v="48"/>
    <s v="CUST013"/>
    <x v="1"/>
    <s v="P001"/>
    <x v="4"/>
    <x v="0"/>
    <x v="1"/>
    <n v="899.99"/>
    <s v="Debit Card"/>
    <x v="1"/>
    <x v="2"/>
    <x v="74"/>
    <n v="4499.95"/>
    <m/>
  </r>
  <r>
    <s v="TRX0006"/>
    <x v="49"/>
    <s v="CUST007"/>
    <x v="35"/>
    <s v="P005"/>
    <x v="1"/>
    <x v="1"/>
    <x v="2"/>
    <n v="59.99"/>
    <s v="Cash"/>
    <x v="2"/>
    <x v="2"/>
    <x v="75"/>
    <n v="119.98"/>
    <m/>
  </r>
  <r>
    <s v="TRX0215"/>
    <x v="49"/>
    <s v="CUST047"/>
    <x v="38"/>
    <s v="P009"/>
    <x v="0"/>
    <x v="0"/>
    <x v="4"/>
    <n v="249.99"/>
    <s v="Debit Card"/>
    <x v="0"/>
    <x v="2"/>
    <x v="76"/>
    <n v="999.96"/>
    <m/>
  </r>
  <r>
    <s v="TRX0080"/>
    <x v="50"/>
    <s v="CUST018"/>
    <x v="17"/>
    <s v="P009"/>
    <x v="0"/>
    <x v="0"/>
    <x v="2"/>
    <n v="249.99"/>
    <s v="Cash"/>
    <x v="2"/>
    <x v="1"/>
    <x v="77"/>
    <n v="499.98"/>
    <m/>
  </r>
  <r>
    <s v="TRX0228"/>
    <x v="50"/>
    <s v="CUST019"/>
    <x v="29"/>
    <s v="P007"/>
    <x v="6"/>
    <x v="2"/>
    <x v="3"/>
    <n v="299.99"/>
    <s v="Cash"/>
    <x v="1"/>
    <x v="0"/>
    <x v="78"/>
    <n v="299.99"/>
    <m/>
  </r>
  <r>
    <s v="TRX0157"/>
    <x v="51"/>
    <s v="CUST025"/>
    <x v="14"/>
    <s v="P010"/>
    <x v="8"/>
    <x v="0"/>
    <x v="2"/>
    <n v="89.99"/>
    <s v="PayPal"/>
    <x v="1"/>
    <x v="0"/>
    <x v="79"/>
    <n v="179.98"/>
    <m/>
  </r>
  <r>
    <s v="TRX0002"/>
    <x v="51"/>
    <s v="CUST019"/>
    <x v="29"/>
    <s v="P007"/>
    <x v="6"/>
    <x v="2"/>
    <x v="0"/>
    <n v="299.99"/>
    <s v="Cash"/>
    <x v="0"/>
    <x v="0"/>
    <x v="80"/>
    <n v="899.97"/>
    <m/>
  </r>
  <r>
    <s v="TRX0217"/>
    <x v="52"/>
    <s v="CUST025"/>
    <x v="14"/>
    <s v="P002"/>
    <x v="5"/>
    <x v="0"/>
    <x v="2"/>
    <n v="699.99"/>
    <s v="Credit Card"/>
    <x v="2"/>
    <x v="1"/>
    <x v="81"/>
    <n v="1399.98"/>
    <m/>
  </r>
  <r>
    <s v="TRX0249"/>
    <x v="53"/>
    <s v="CUST030"/>
    <x v="22"/>
    <s v="P001"/>
    <x v="4"/>
    <x v="0"/>
    <x v="4"/>
    <n v="899.99"/>
    <s v="Debit Card"/>
    <x v="1"/>
    <x v="2"/>
    <x v="82"/>
    <n v="3599.96"/>
    <m/>
  </r>
  <r>
    <s v="TRX0065"/>
    <x v="54"/>
    <s v="CUST016"/>
    <x v="39"/>
    <s v="P008"/>
    <x v="2"/>
    <x v="2"/>
    <x v="2"/>
    <n v="149.99"/>
    <s v="Credit Card"/>
    <x v="3"/>
    <x v="0"/>
    <x v="83"/>
    <n v="299.98"/>
    <m/>
  </r>
  <r>
    <s v="TRX0176"/>
    <x v="55"/>
    <s v="CUST044"/>
    <x v="19"/>
    <s v="P008"/>
    <x v="2"/>
    <x v="2"/>
    <x v="2"/>
    <n v="149.99"/>
    <s v="Debit Card"/>
    <x v="4"/>
    <x v="2"/>
    <x v="84"/>
    <n v="299.98"/>
    <m/>
  </r>
  <r>
    <s v="TRX0101"/>
    <x v="56"/>
    <s v="CUST010"/>
    <x v="15"/>
    <s v="P010"/>
    <x v="8"/>
    <x v="0"/>
    <x v="3"/>
    <n v="89.99"/>
    <s v="Credit Card"/>
    <x v="2"/>
    <x v="2"/>
    <x v="85"/>
    <n v="89.99"/>
    <m/>
  </r>
  <r>
    <s v="TRX0205"/>
    <x v="57"/>
    <s v="CUST025"/>
    <x v="14"/>
    <s v="P007"/>
    <x v="6"/>
    <x v="2"/>
    <x v="1"/>
    <n v="299.99"/>
    <s v="Credit Card"/>
    <x v="2"/>
    <x v="0"/>
    <x v="86"/>
    <n v="1499.95"/>
    <m/>
  </r>
  <r>
    <s v="TRX0020"/>
    <x v="58"/>
    <s v="CUST007"/>
    <x v="35"/>
    <s v="P003"/>
    <x v="3"/>
    <x v="0"/>
    <x v="4"/>
    <n v="149.99"/>
    <s v="Debit Card"/>
    <x v="1"/>
    <x v="1"/>
    <x v="87"/>
    <n v="599.96"/>
    <m/>
  </r>
  <r>
    <s v="TRX0075"/>
    <x v="58"/>
    <s v="CUST020"/>
    <x v="36"/>
    <s v="P009"/>
    <x v="0"/>
    <x v="0"/>
    <x v="1"/>
    <n v="249.99"/>
    <s v="PayPal"/>
    <x v="4"/>
    <x v="1"/>
    <x v="88"/>
    <n v="1249.95"/>
    <m/>
  </r>
  <r>
    <s v="TRX0098"/>
    <x v="58"/>
    <s v="CUST026"/>
    <x v="8"/>
    <s v="P009"/>
    <x v="0"/>
    <x v="0"/>
    <x v="0"/>
    <n v="249.99"/>
    <s v="PayPal"/>
    <x v="2"/>
    <x v="1"/>
    <x v="89"/>
    <n v="749.97"/>
    <m/>
  </r>
  <r>
    <s v="TRX0247"/>
    <x v="58"/>
    <s v="CUST046"/>
    <x v="3"/>
    <s v="P006"/>
    <x v="9"/>
    <x v="2"/>
    <x v="4"/>
    <n v="199.99"/>
    <s v="Cash"/>
    <x v="2"/>
    <x v="2"/>
    <x v="90"/>
    <n v="799.96"/>
    <m/>
  </r>
  <r>
    <s v="TRX0027"/>
    <x v="59"/>
    <s v="CUST028"/>
    <x v="32"/>
    <s v="P006"/>
    <x v="9"/>
    <x v="2"/>
    <x v="1"/>
    <n v="199.99"/>
    <s v="Cash"/>
    <x v="2"/>
    <x v="1"/>
    <x v="91"/>
    <n v="999.95"/>
    <m/>
  </r>
  <r>
    <s v="TRX0140"/>
    <x v="60"/>
    <s v="CUST025"/>
    <x v="14"/>
    <s v="P010"/>
    <x v="8"/>
    <x v="0"/>
    <x v="2"/>
    <n v="89.99"/>
    <s v="Cash"/>
    <x v="4"/>
    <x v="1"/>
    <x v="92"/>
    <n v="179.98"/>
    <m/>
  </r>
  <r>
    <s v="TRX0132"/>
    <x v="61"/>
    <s v="CUST047"/>
    <x v="38"/>
    <s v="P001"/>
    <x v="4"/>
    <x v="0"/>
    <x v="1"/>
    <n v="899.99"/>
    <s v="Debit Card"/>
    <x v="4"/>
    <x v="0"/>
    <x v="93"/>
    <n v="4499.95"/>
    <m/>
  </r>
  <r>
    <s v="TRX0031"/>
    <x v="61"/>
    <s v="CUST036"/>
    <x v="20"/>
    <s v="P003"/>
    <x v="3"/>
    <x v="0"/>
    <x v="0"/>
    <n v="149.99"/>
    <s v="PayPal"/>
    <x v="4"/>
    <x v="0"/>
    <x v="94"/>
    <n v="449.97"/>
    <m/>
  </r>
  <r>
    <s v="TRX0236"/>
    <x v="62"/>
    <s v="CUST044"/>
    <x v="19"/>
    <s v="P008"/>
    <x v="2"/>
    <x v="2"/>
    <x v="1"/>
    <n v="149.99"/>
    <s v="Credit Card"/>
    <x v="0"/>
    <x v="0"/>
    <x v="95"/>
    <n v="749.95"/>
    <m/>
  </r>
  <r>
    <s v="TRX0001"/>
    <x v="63"/>
    <s v="CUST039"/>
    <x v="40"/>
    <s v="P004"/>
    <x v="7"/>
    <x v="1"/>
    <x v="0"/>
    <n v="79.989999999999995"/>
    <s v="Cash"/>
    <x v="0"/>
    <x v="1"/>
    <x v="96"/>
    <n v="239.97"/>
    <m/>
  </r>
  <r>
    <s v="TRX0037"/>
    <x v="63"/>
    <s v="CUST035"/>
    <x v="28"/>
    <s v="P009"/>
    <x v="0"/>
    <x v="0"/>
    <x v="2"/>
    <n v="249.99"/>
    <s v="Cash"/>
    <x v="1"/>
    <x v="2"/>
    <x v="97"/>
    <n v="499.98"/>
    <m/>
  </r>
  <r>
    <s v="TRX0058"/>
    <x v="64"/>
    <s v="CUST047"/>
    <x v="38"/>
    <s v="P002"/>
    <x v="5"/>
    <x v="0"/>
    <x v="3"/>
    <n v="699.99"/>
    <s v="Cash"/>
    <x v="0"/>
    <x v="1"/>
    <x v="98"/>
    <n v="699.99"/>
    <m/>
  </r>
  <r>
    <s v="TRX0170"/>
    <x v="64"/>
    <s v="CUST034"/>
    <x v="41"/>
    <s v="P003"/>
    <x v="3"/>
    <x v="0"/>
    <x v="0"/>
    <n v="149.99"/>
    <s v="Cash"/>
    <x v="3"/>
    <x v="1"/>
    <x v="99"/>
    <n v="449.97"/>
    <m/>
  </r>
  <r>
    <s v="TRX0248"/>
    <x v="65"/>
    <s v="CUST032"/>
    <x v="42"/>
    <s v="P002"/>
    <x v="5"/>
    <x v="0"/>
    <x v="2"/>
    <n v="699.99"/>
    <s v="Credit Card"/>
    <x v="2"/>
    <x v="1"/>
    <x v="63"/>
    <n v="1399.98"/>
    <m/>
  </r>
  <r>
    <s v="TRX0099"/>
    <x v="66"/>
    <s v="CUST034"/>
    <x v="41"/>
    <s v="P009"/>
    <x v="0"/>
    <x v="0"/>
    <x v="3"/>
    <n v="249.99"/>
    <s v="Credit Card"/>
    <x v="3"/>
    <x v="1"/>
    <x v="100"/>
    <n v="249.99"/>
    <m/>
  </r>
  <r>
    <s v="TRX0074"/>
    <x v="66"/>
    <s v="CUST023"/>
    <x v="0"/>
    <s v="P009"/>
    <x v="0"/>
    <x v="0"/>
    <x v="3"/>
    <n v="249.99"/>
    <s v="Debit Card"/>
    <x v="2"/>
    <x v="1"/>
    <x v="101"/>
    <n v="249.99"/>
    <m/>
  </r>
  <r>
    <s v="TRX0225"/>
    <x v="67"/>
    <s v="CUST039"/>
    <x v="40"/>
    <s v="P002"/>
    <x v="5"/>
    <x v="0"/>
    <x v="2"/>
    <n v="699.99"/>
    <s v="Debit Card"/>
    <x v="0"/>
    <x v="1"/>
    <x v="102"/>
    <n v="1399.98"/>
    <m/>
  </r>
  <r>
    <s v="TRX0100"/>
    <x v="68"/>
    <s v="CUST031"/>
    <x v="26"/>
    <s v="P005"/>
    <x v="1"/>
    <x v="1"/>
    <x v="0"/>
    <n v="59.99"/>
    <s v="Credit Card"/>
    <x v="0"/>
    <x v="1"/>
    <x v="103"/>
    <n v="179.97"/>
    <m/>
  </r>
  <r>
    <s v="TRX0142"/>
    <x v="69"/>
    <s v="CUST002"/>
    <x v="25"/>
    <s v="P005"/>
    <x v="1"/>
    <x v="1"/>
    <x v="0"/>
    <n v="59.99"/>
    <s v="PayPal"/>
    <x v="4"/>
    <x v="2"/>
    <x v="104"/>
    <n v="179.97"/>
    <m/>
  </r>
  <r>
    <s v="TRX0112"/>
    <x v="69"/>
    <s v="CUST008"/>
    <x v="27"/>
    <s v="P004"/>
    <x v="7"/>
    <x v="1"/>
    <x v="4"/>
    <n v="79.989999999999995"/>
    <s v="Cash"/>
    <x v="2"/>
    <x v="0"/>
    <x v="105"/>
    <n v="319.95999999999998"/>
    <m/>
  </r>
  <r>
    <s v="TRX0161"/>
    <x v="70"/>
    <s v="CUST017"/>
    <x v="6"/>
    <s v="P004"/>
    <x v="7"/>
    <x v="1"/>
    <x v="3"/>
    <n v="79.989999999999995"/>
    <s v="Cash"/>
    <x v="3"/>
    <x v="0"/>
    <x v="106"/>
    <n v="79.989999999999995"/>
    <m/>
  </r>
  <r>
    <s v="TRX0108"/>
    <x v="71"/>
    <s v="CUST024"/>
    <x v="5"/>
    <s v="P007"/>
    <x v="6"/>
    <x v="2"/>
    <x v="0"/>
    <n v="299.99"/>
    <s v="Credit Card"/>
    <x v="0"/>
    <x v="1"/>
    <x v="107"/>
    <n v="899.97"/>
    <m/>
  </r>
  <r>
    <s v="TRX0211"/>
    <x v="72"/>
    <s v="CUST046"/>
    <x v="3"/>
    <s v="P010"/>
    <x v="8"/>
    <x v="0"/>
    <x v="2"/>
    <n v="89.99"/>
    <s v="Credit Card"/>
    <x v="1"/>
    <x v="1"/>
    <x v="108"/>
    <n v="179.98"/>
    <m/>
  </r>
  <r>
    <s v="TRX0005"/>
    <x v="73"/>
    <s v="CUST042"/>
    <x v="43"/>
    <s v="P003"/>
    <x v="3"/>
    <x v="0"/>
    <x v="4"/>
    <n v="149.99"/>
    <s v="Cash"/>
    <x v="2"/>
    <x v="0"/>
    <x v="67"/>
    <n v="599.96"/>
    <m/>
  </r>
  <r>
    <s v="TRX0195"/>
    <x v="74"/>
    <s v="CUST026"/>
    <x v="8"/>
    <s v="P009"/>
    <x v="0"/>
    <x v="0"/>
    <x v="2"/>
    <n v="249.99"/>
    <s v="PayPal"/>
    <x v="1"/>
    <x v="0"/>
    <x v="57"/>
    <n v="499.98"/>
    <m/>
  </r>
  <r>
    <s v="TRX0054"/>
    <x v="74"/>
    <s v="CUST004"/>
    <x v="31"/>
    <s v="P006"/>
    <x v="9"/>
    <x v="2"/>
    <x v="4"/>
    <n v="199.99"/>
    <s v="Debit Card"/>
    <x v="4"/>
    <x v="0"/>
    <x v="90"/>
    <n v="799.96"/>
    <m/>
  </r>
  <r>
    <s v="TRX0077"/>
    <x v="75"/>
    <s v="CUST019"/>
    <x v="29"/>
    <s v="P010"/>
    <x v="8"/>
    <x v="0"/>
    <x v="1"/>
    <n v="89.99"/>
    <s v="Credit Card"/>
    <x v="4"/>
    <x v="1"/>
    <x v="109"/>
    <n v="449.95"/>
    <m/>
  </r>
  <r>
    <s v="TRX0111"/>
    <x v="75"/>
    <s v="CUST011"/>
    <x v="44"/>
    <s v="P003"/>
    <x v="3"/>
    <x v="0"/>
    <x v="3"/>
    <n v="149.99"/>
    <s v="PayPal"/>
    <x v="4"/>
    <x v="2"/>
    <x v="110"/>
    <n v="149.99"/>
    <m/>
  </r>
  <r>
    <s v="TRX0123"/>
    <x v="75"/>
    <s v="CUST041"/>
    <x v="10"/>
    <s v="P002"/>
    <x v="5"/>
    <x v="0"/>
    <x v="4"/>
    <n v="699.99"/>
    <s v="PayPal"/>
    <x v="1"/>
    <x v="0"/>
    <x v="111"/>
    <n v="2799.96"/>
    <m/>
  </r>
  <r>
    <s v="TRX0177"/>
    <x v="76"/>
    <s v="CUST032"/>
    <x v="42"/>
    <s v="P001"/>
    <x v="4"/>
    <x v="0"/>
    <x v="0"/>
    <n v="899.99"/>
    <s v="Credit Card"/>
    <x v="2"/>
    <x v="2"/>
    <x v="112"/>
    <n v="2699.97"/>
    <m/>
  </r>
  <r>
    <s v="TRX0119"/>
    <x v="77"/>
    <s v="CUST014"/>
    <x v="21"/>
    <s v="P008"/>
    <x v="2"/>
    <x v="2"/>
    <x v="0"/>
    <n v="149.99"/>
    <s v="PayPal"/>
    <x v="4"/>
    <x v="0"/>
    <x v="113"/>
    <n v="449.97"/>
    <m/>
  </r>
  <r>
    <s v="TRX0181"/>
    <x v="78"/>
    <s v="CUST012"/>
    <x v="18"/>
    <s v="P007"/>
    <x v="6"/>
    <x v="2"/>
    <x v="2"/>
    <n v="299.99"/>
    <s v="Debit Card"/>
    <x v="0"/>
    <x v="0"/>
    <x v="114"/>
    <n v="599.98"/>
    <m/>
  </r>
  <r>
    <s v="TRX0129"/>
    <x v="79"/>
    <s v="CUST015"/>
    <x v="45"/>
    <s v="P006"/>
    <x v="9"/>
    <x v="2"/>
    <x v="3"/>
    <n v="199.99"/>
    <s v="Debit Card"/>
    <x v="4"/>
    <x v="2"/>
    <x v="115"/>
    <n v="199.99"/>
    <m/>
  </r>
  <r>
    <s v="TRX0174"/>
    <x v="80"/>
    <s v="CUST003"/>
    <x v="4"/>
    <s v="P007"/>
    <x v="6"/>
    <x v="2"/>
    <x v="4"/>
    <n v="299.99"/>
    <s v="Cash"/>
    <x v="0"/>
    <x v="1"/>
    <x v="116"/>
    <n v="1199.96"/>
    <m/>
  </r>
  <r>
    <s v="TRX0146"/>
    <x v="81"/>
    <s v="CUST010"/>
    <x v="15"/>
    <s v="P005"/>
    <x v="1"/>
    <x v="1"/>
    <x v="2"/>
    <n v="59.99"/>
    <s v="Credit Card"/>
    <x v="0"/>
    <x v="0"/>
    <x v="47"/>
    <n v="119.98"/>
    <m/>
  </r>
  <r>
    <s v="TRX0203"/>
    <x v="81"/>
    <s v="CUST032"/>
    <x v="42"/>
    <s v="P003"/>
    <x v="3"/>
    <x v="0"/>
    <x v="4"/>
    <n v="149.99"/>
    <s v="Credit Card"/>
    <x v="2"/>
    <x v="1"/>
    <x v="117"/>
    <n v="599.96"/>
    <m/>
  </r>
  <r>
    <s v="TRX0055"/>
    <x v="82"/>
    <s v="CUST016"/>
    <x v="39"/>
    <s v="P002"/>
    <x v="5"/>
    <x v="0"/>
    <x v="2"/>
    <n v="699.99"/>
    <s v="Debit Card"/>
    <x v="4"/>
    <x v="1"/>
    <x v="118"/>
    <n v="1399.98"/>
    <m/>
  </r>
  <r>
    <s v="TRX0218"/>
    <x v="82"/>
    <s v="CUST034"/>
    <x v="41"/>
    <s v="P008"/>
    <x v="2"/>
    <x v="2"/>
    <x v="0"/>
    <n v="149.99"/>
    <s v="Credit Card"/>
    <x v="1"/>
    <x v="2"/>
    <x v="119"/>
    <n v="449.97"/>
    <m/>
  </r>
  <r>
    <s v="TRX0085"/>
    <x v="83"/>
    <s v="CUST019"/>
    <x v="29"/>
    <s v="P007"/>
    <x v="6"/>
    <x v="2"/>
    <x v="0"/>
    <n v="299.99"/>
    <s v="Credit Card"/>
    <x v="0"/>
    <x v="2"/>
    <x v="120"/>
    <n v="899.97"/>
    <m/>
  </r>
  <r>
    <s v="TRX0158"/>
    <x v="84"/>
    <s v="CUST027"/>
    <x v="13"/>
    <s v="P001"/>
    <x v="4"/>
    <x v="0"/>
    <x v="0"/>
    <n v="899.99"/>
    <s v="PayPal"/>
    <x v="3"/>
    <x v="0"/>
    <x v="121"/>
    <n v="2699.97"/>
    <m/>
  </r>
  <r>
    <s v="TRX0173"/>
    <x v="85"/>
    <s v="CUST018"/>
    <x v="17"/>
    <s v="P002"/>
    <x v="5"/>
    <x v="0"/>
    <x v="1"/>
    <n v="699.99"/>
    <s v="Cash"/>
    <x v="4"/>
    <x v="2"/>
    <x v="122"/>
    <n v="3499.95"/>
    <m/>
  </r>
  <r>
    <s v="TRX0034"/>
    <x v="85"/>
    <s v="CUST049"/>
    <x v="34"/>
    <s v="P002"/>
    <x v="5"/>
    <x v="0"/>
    <x v="4"/>
    <n v="699.99"/>
    <s v="Credit Card"/>
    <x v="0"/>
    <x v="0"/>
    <x v="123"/>
    <n v="2799.96"/>
    <m/>
  </r>
  <r>
    <s v="TRX0189"/>
    <x v="85"/>
    <s v="CUST040"/>
    <x v="30"/>
    <s v="P001"/>
    <x v="4"/>
    <x v="0"/>
    <x v="3"/>
    <n v="899.99"/>
    <s v="Credit Card"/>
    <x v="4"/>
    <x v="2"/>
    <x v="124"/>
    <n v="899.99"/>
    <m/>
  </r>
  <r>
    <s v="TRX0190"/>
    <x v="86"/>
    <s v="CUST039"/>
    <x v="40"/>
    <s v="P003"/>
    <x v="3"/>
    <x v="0"/>
    <x v="2"/>
    <n v="149.99"/>
    <s v="Credit Card"/>
    <x v="3"/>
    <x v="0"/>
    <x v="125"/>
    <n v="299.98"/>
    <m/>
  </r>
  <r>
    <s v="TRX0079"/>
    <x v="87"/>
    <s v="CUST039"/>
    <x v="40"/>
    <s v="P010"/>
    <x v="8"/>
    <x v="0"/>
    <x v="0"/>
    <n v="89.99"/>
    <s v="PayPal"/>
    <x v="0"/>
    <x v="0"/>
    <x v="126"/>
    <n v="269.97000000000003"/>
    <m/>
  </r>
  <r>
    <s v="TRX0095"/>
    <x v="88"/>
    <s v="CUST046"/>
    <x v="3"/>
    <s v="P003"/>
    <x v="3"/>
    <x v="0"/>
    <x v="2"/>
    <n v="149.99"/>
    <s v="PayPal"/>
    <x v="0"/>
    <x v="0"/>
    <x v="127"/>
    <n v="299.98"/>
    <m/>
  </r>
  <r>
    <s v="TRX0009"/>
    <x v="88"/>
    <s v="CUST004"/>
    <x v="31"/>
    <s v="P002"/>
    <x v="5"/>
    <x v="0"/>
    <x v="2"/>
    <n v="699.99"/>
    <s v="Cash"/>
    <x v="0"/>
    <x v="0"/>
    <x v="128"/>
    <n v="1399.98"/>
    <m/>
  </r>
  <r>
    <s v="TRX0167"/>
    <x v="89"/>
    <s v="CUST028"/>
    <x v="32"/>
    <s v="P002"/>
    <x v="5"/>
    <x v="0"/>
    <x v="1"/>
    <n v="699.99"/>
    <s v="Cash"/>
    <x v="2"/>
    <x v="1"/>
    <x v="129"/>
    <n v="3499.95"/>
    <m/>
  </r>
  <r>
    <s v="TRX0153"/>
    <x v="90"/>
    <s v="CUST049"/>
    <x v="34"/>
    <s v="P010"/>
    <x v="8"/>
    <x v="0"/>
    <x v="0"/>
    <n v="89.99"/>
    <s v="Credit Card"/>
    <x v="2"/>
    <x v="2"/>
    <x v="130"/>
    <n v="269.97000000000003"/>
    <m/>
  </r>
  <r>
    <s v="TRX0057"/>
    <x v="91"/>
    <s v="CUST023"/>
    <x v="0"/>
    <s v="P009"/>
    <x v="0"/>
    <x v="0"/>
    <x v="1"/>
    <n v="249.99"/>
    <s v="Credit Card"/>
    <x v="1"/>
    <x v="2"/>
    <x v="131"/>
    <n v="1249.95"/>
    <m/>
  </r>
  <r>
    <s v="TRX0017"/>
    <x v="92"/>
    <s v="CUST026"/>
    <x v="8"/>
    <s v="P007"/>
    <x v="6"/>
    <x v="2"/>
    <x v="0"/>
    <n v="299.99"/>
    <s v="Credit Card"/>
    <x v="1"/>
    <x v="2"/>
    <x v="132"/>
    <n v="899.97"/>
    <m/>
  </r>
  <r>
    <s v="TRX0060"/>
    <x v="93"/>
    <s v="CUST012"/>
    <x v="18"/>
    <s v="P010"/>
    <x v="8"/>
    <x v="0"/>
    <x v="0"/>
    <n v="89.99"/>
    <s v="Credit Card"/>
    <x v="2"/>
    <x v="1"/>
    <x v="133"/>
    <n v="269.97000000000003"/>
    <m/>
  </r>
  <r>
    <s v="TRX0109"/>
    <x v="94"/>
    <s v="CUST010"/>
    <x v="15"/>
    <s v="P008"/>
    <x v="2"/>
    <x v="2"/>
    <x v="2"/>
    <n v="149.99"/>
    <s v="Credit Card"/>
    <x v="3"/>
    <x v="1"/>
    <x v="134"/>
    <n v="299.98"/>
    <m/>
  </r>
  <r>
    <s v="TRX0090"/>
    <x v="95"/>
    <s v="CUST020"/>
    <x v="36"/>
    <s v="P009"/>
    <x v="0"/>
    <x v="0"/>
    <x v="3"/>
    <n v="249.99"/>
    <s v="Credit Card"/>
    <x v="2"/>
    <x v="1"/>
    <x v="135"/>
    <n v="249.99"/>
    <m/>
  </r>
  <r>
    <s v="TRX0035"/>
    <x v="96"/>
    <s v="CUST041"/>
    <x v="10"/>
    <s v="P003"/>
    <x v="3"/>
    <x v="0"/>
    <x v="0"/>
    <n v="149.99"/>
    <s v="Cash"/>
    <x v="2"/>
    <x v="0"/>
    <x v="136"/>
    <n v="449.97"/>
    <m/>
  </r>
  <r>
    <s v="TRX0172"/>
    <x v="96"/>
    <s v="CUST023"/>
    <x v="0"/>
    <s v="P005"/>
    <x v="1"/>
    <x v="1"/>
    <x v="1"/>
    <n v="59.99"/>
    <s v="PayPal"/>
    <x v="3"/>
    <x v="1"/>
    <x v="137"/>
    <n v="299.95"/>
    <m/>
  </r>
  <r>
    <s v="TRX0076"/>
    <x v="96"/>
    <s v="CUST012"/>
    <x v="18"/>
    <s v="P009"/>
    <x v="0"/>
    <x v="0"/>
    <x v="4"/>
    <n v="249.99"/>
    <s v="Credit Card"/>
    <x v="3"/>
    <x v="2"/>
    <x v="138"/>
    <n v="999.96"/>
    <m/>
  </r>
  <r>
    <s v="TRX0210"/>
    <x v="97"/>
    <s v="CUST004"/>
    <x v="31"/>
    <s v="P008"/>
    <x v="2"/>
    <x v="2"/>
    <x v="1"/>
    <n v="149.99"/>
    <s v="PayPal"/>
    <x v="0"/>
    <x v="0"/>
    <x v="139"/>
    <n v="749.95"/>
    <m/>
  </r>
  <r>
    <s v="TRX0149"/>
    <x v="97"/>
    <s v="CUST027"/>
    <x v="13"/>
    <s v="P005"/>
    <x v="1"/>
    <x v="1"/>
    <x v="0"/>
    <n v="59.99"/>
    <s v="Debit Card"/>
    <x v="1"/>
    <x v="2"/>
    <x v="140"/>
    <n v="179.97"/>
    <m/>
  </r>
  <r>
    <s v="TRX0073"/>
    <x v="98"/>
    <s v="CUST032"/>
    <x v="42"/>
    <s v="P008"/>
    <x v="2"/>
    <x v="2"/>
    <x v="1"/>
    <n v="149.99"/>
    <s v="Cash"/>
    <x v="2"/>
    <x v="0"/>
    <x v="141"/>
    <n v="749.95"/>
    <m/>
  </r>
  <r>
    <s v="TRX0033"/>
    <x v="98"/>
    <s v="CUST025"/>
    <x v="14"/>
    <s v="P002"/>
    <x v="5"/>
    <x v="0"/>
    <x v="2"/>
    <n v="699.99"/>
    <s v="PayPal"/>
    <x v="3"/>
    <x v="2"/>
    <x v="142"/>
    <n v="1399.98"/>
    <m/>
  </r>
  <r>
    <s v="TRX0160"/>
    <x v="99"/>
    <s v="CUST029"/>
    <x v="23"/>
    <s v="P006"/>
    <x v="9"/>
    <x v="2"/>
    <x v="4"/>
    <n v="199.99"/>
    <s v="Debit Card"/>
    <x v="0"/>
    <x v="1"/>
    <x v="143"/>
    <n v="799.96"/>
    <m/>
  </r>
  <r>
    <s v="TRX0145"/>
    <x v="100"/>
    <s v="CUST033"/>
    <x v="37"/>
    <s v="P005"/>
    <x v="1"/>
    <x v="1"/>
    <x v="3"/>
    <n v="59.99"/>
    <s v="Debit Card"/>
    <x v="3"/>
    <x v="2"/>
    <x v="144"/>
    <n v="59.99"/>
    <m/>
  </r>
  <r>
    <s v="TRX0148"/>
    <x v="100"/>
    <s v="CUST004"/>
    <x v="31"/>
    <s v="P002"/>
    <x v="5"/>
    <x v="0"/>
    <x v="0"/>
    <n v="699.99"/>
    <s v="PayPal"/>
    <x v="3"/>
    <x v="2"/>
    <x v="145"/>
    <n v="2099.9699999999998"/>
    <m/>
  </r>
  <r>
    <s v="TRX0012"/>
    <x v="101"/>
    <s v="CUST045"/>
    <x v="46"/>
    <s v="P009"/>
    <x v="0"/>
    <x v="0"/>
    <x v="1"/>
    <n v="249.99"/>
    <s v="Credit Card"/>
    <x v="2"/>
    <x v="0"/>
    <x v="146"/>
    <n v="1249.95"/>
    <m/>
  </r>
  <r>
    <s v="TRX0206"/>
    <x v="102"/>
    <s v="CUST014"/>
    <x v="21"/>
    <s v="P008"/>
    <x v="2"/>
    <x v="2"/>
    <x v="2"/>
    <n v="149.99"/>
    <s v="Cash"/>
    <x v="1"/>
    <x v="2"/>
    <x v="147"/>
    <n v="299.98"/>
    <m/>
  </r>
  <r>
    <s v="TRX0045"/>
    <x v="103"/>
    <s v="CUST021"/>
    <x v="2"/>
    <s v="P007"/>
    <x v="6"/>
    <x v="2"/>
    <x v="0"/>
    <n v="299.99"/>
    <s v="Cash"/>
    <x v="1"/>
    <x v="1"/>
    <x v="138"/>
    <n v="899.97"/>
    <m/>
  </r>
  <r>
    <s v="TRX0094"/>
    <x v="103"/>
    <s v="CUST017"/>
    <x v="6"/>
    <s v="P009"/>
    <x v="0"/>
    <x v="0"/>
    <x v="1"/>
    <n v="249.99"/>
    <s v="Cash"/>
    <x v="0"/>
    <x v="1"/>
    <x v="148"/>
    <n v="1249.95"/>
    <m/>
  </r>
  <r>
    <s v="TRX0133"/>
    <x v="103"/>
    <s v="CUST013"/>
    <x v="1"/>
    <s v="P003"/>
    <x v="3"/>
    <x v="0"/>
    <x v="2"/>
    <n v="149.99"/>
    <s v="Cash"/>
    <x v="1"/>
    <x v="1"/>
    <x v="149"/>
    <n v="299.98"/>
    <m/>
  </r>
  <r>
    <s v="TRX0201"/>
    <x v="103"/>
    <s v="CUST025"/>
    <x v="14"/>
    <s v="P002"/>
    <x v="5"/>
    <x v="0"/>
    <x v="1"/>
    <n v="699.99"/>
    <s v="Debit Card"/>
    <x v="3"/>
    <x v="2"/>
    <x v="150"/>
    <n v="3499.95"/>
    <m/>
  </r>
  <r>
    <s v="TRX0137"/>
    <x v="104"/>
    <s v="CUST011"/>
    <x v="44"/>
    <s v="P009"/>
    <x v="0"/>
    <x v="0"/>
    <x v="4"/>
    <n v="249.99"/>
    <s v="PayPal"/>
    <x v="4"/>
    <x v="1"/>
    <x v="151"/>
    <n v="999.96"/>
    <m/>
  </r>
  <r>
    <s v="TRX0066"/>
    <x v="105"/>
    <s v="CUST024"/>
    <x v="5"/>
    <s v="P002"/>
    <x v="5"/>
    <x v="0"/>
    <x v="4"/>
    <n v="699.99"/>
    <s v="Credit Card"/>
    <x v="2"/>
    <x v="1"/>
    <x v="152"/>
    <n v="2799.96"/>
    <m/>
  </r>
  <r>
    <s v="TRX0180"/>
    <x v="106"/>
    <s v="CUST036"/>
    <x v="20"/>
    <s v="P009"/>
    <x v="0"/>
    <x v="0"/>
    <x v="2"/>
    <n v="249.99"/>
    <s v="Credit Card"/>
    <x v="0"/>
    <x v="1"/>
    <x v="153"/>
    <n v="499.98"/>
    <m/>
  </r>
  <r>
    <s v="TRX0082"/>
    <x v="106"/>
    <s v="CUST005"/>
    <x v="47"/>
    <s v="P005"/>
    <x v="1"/>
    <x v="1"/>
    <x v="0"/>
    <n v="59.99"/>
    <s v="Cash"/>
    <x v="0"/>
    <x v="1"/>
    <x v="154"/>
    <n v="179.97"/>
    <m/>
  </r>
  <r>
    <s v="TRX0036"/>
    <x v="106"/>
    <s v="CUST008"/>
    <x v="27"/>
    <s v="P004"/>
    <x v="7"/>
    <x v="1"/>
    <x v="4"/>
    <n v="79.989999999999995"/>
    <s v="Debit Card"/>
    <x v="4"/>
    <x v="2"/>
    <x v="155"/>
    <n v="319.95999999999998"/>
    <m/>
  </r>
  <r>
    <s v="TRX0198"/>
    <x v="107"/>
    <s v="CUST030"/>
    <x v="22"/>
    <s v="P004"/>
    <x v="7"/>
    <x v="1"/>
    <x v="0"/>
    <n v="79.989999999999995"/>
    <s v="Debit Card"/>
    <x v="4"/>
    <x v="2"/>
    <x v="96"/>
    <n v="239.97"/>
    <m/>
  </r>
  <r>
    <s v="TRX0032"/>
    <x v="108"/>
    <s v="CUST041"/>
    <x v="10"/>
    <s v="P001"/>
    <x v="4"/>
    <x v="0"/>
    <x v="2"/>
    <n v="899.99"/>
    <s v="Cash"/>
    <x v="2"/>
    <x v="0"/>
    <x v="156"/>
    <n v="1799.98"/>
    <m/>
  </r>
  <r>
    <s v="TRX0081"/>
    <x v="109"/>
    <s v="CUST007"/>
    <x v="35"/>
    <s v="P008"/>
    <x v="2"/>
    <x v="2"/>
    <x v="3"/>
    <n v="149.99"/>
    <s v="Debit Card"/>
    <x v="4"/>
    <x v="2"/>
    <x v="157"/>
    <n v="149.99"/>
    <m/>
  </r>
  <r>
    <s v="TRX0224"/>
    <x v="109"/>
    <s v="CUST031"/>
    <x v="26"/>
    <s v="P007"/>
    <x v="6"/>
    <x v="2"/>
    <x v="2"/>
    <n v="299.99"/>
    <s v="Cash"/>
    <x v="4"/>
    <x v="1"/>
    <x v="158"/>
    <n v="599.98"/>
    <m/>
  </r>
  <r>
    <s v="TRX0028"/>
    <x v="110"/>
    <s v="CUST002"/>
    <x v="25"/>
    <s v="P005"/>
    <x v="1"/>
    <x v="1"/>
    <x v="2"/>
    <n v="59.99"/>
    <s v="Cash"/>
    <x v="3"/>
    <x v="0"/>
    <x v="159"/>
    <n v="119.98"/>
    <m/>
  </r>
  <r>
    <s v="TRX0183"/>
    <x v="111"/>
    <s v="CUST007"/>
    <x v="35"/>
    <s v="P010"/>
    <x v="8"/>
    <x v="0"/>
    <x v="3"/>
    <n v="89.99"/>
    <s v="Debit Card"/>
    <x v="0"/>
    <x v="2"/>
    <x v="160"/>
    <n v="89.99"/>
    <m/>
  </r>
  <r>
    <s v="TRX0163"/>
    <x v="111"/>
    <s v="CUST019"/>
    <x v="29"/>
    <s v="P001"/>
    <x v="4"/>
    <x v="0"/>
    <x v="1"/>
    <n v="899.99"/>
    <s v="Debit Card"/>
    <x v="4"/>
    <x v="2"/>
    <x v="161"/>
    <n v="4499.95"/>
    <m/>
  </r>
  <r>
    <s v="TRX0046"/>
    <x v="112"/>
    <s v="CUST003"/>
    <x v="4"/>
    <s v="P008"/>
    <x v="2"/>
    <x v="2"/>
    <x v="2"/>
    <n v="149.99"/>
    <s v="Cash"/>
    <x v="1"/>
    <x v="0"/>
    <x v="162"/>
    <n v="299.98"/>
    <m/>
  </r>
  <r>
    <s v="TRX0164"/>
    <x v="113"/>
    <s v="CUST014"/>
    <x v="21"/>
    <s v="P003"/>
    <x v="3"/>
    <x v="0"/>
    <x v="2"/>
    <n v="149.99"/>
    <s v="Debit Card"/>
    <x v="3"/>
    <x v="1"/>
    <x v="163"/>
    <n v="299.98"/>
    <m/>
  </r>
  <r>
    <s v="TRX0008"/>
    <x v="113"/>
    <s v="CUST007"/>
    <x v="35"/>
    <s v="P008"/>
    <x v="2"/>
    <x v="2"/>
    <x v="0"/>
    <n v="149.99"/>
    <s v="Debit Card"/>
    <x v="2"/>
    <x v="2"/>
    <x v="164"/>
    <n v="449.97"/>
    <m/>
  </r>
  <r>
    <s v="TRX0171"/>
    <x v="114"/>
    <s v="CUST021"/>
    <x v="2"/>
    <s v="P007"/>
    <x v="6"/>
    <x v="2"/>
    <x v="2"/>
    <n v="299.99"/>
    <s v="PayPal"/>
    <x v="1"/>
    <x v="0"/>
    <x v="165"/>
    <n v="599.98"/>
    <m/>
  </r>
  <r>
    <s v="TRX0143"/>
    <x v="115"/>
    <s v="CUST003"/>
    <x v="4"/>
    <s v="P007"/>
    <x v="6"/>
    <x v="2"/>
    <x v="2"/>
    <n v="299.99"/>
    <s v="Cash"/>
    <x v="3"/>
    <x v="0"/>
    <x v="166"/>
    <n v="599.98"/>
    <m/>
  </r>
  <r>
    <s v="TRX0165"/>
    <x v="115"/>
    <s v="CUST030"/>
    <x v="22"/>
    <s v="P006"/>
    <x v="9"/>
    <x v="2"/>
    <x v="4"/>
    <n v="199.99"/>
    <s v="Credit Card"/>
    <x v="0"/>
    <x v="0"/>
    <x v="82"/>
    <n v="799.96"/>
    <m/>
  </r>
  <r>
    <s v="TRX0156"/>
    <x v="116"/>
    <s v="CUST009"/>
    <x v="7"/>
    <s v="P010"/>
    <x v="8"/>
    <x v="0"/>
    <x v="3"/>
    <n v="89.99"/>
    <s v="Credit Card"/>
    <x v="1"/>
    <x v="1"/>
    <x v="167"/>
    <n v="89.99"/>
    <m/>
  </r>
  <r>
    <s v="TRX0147"/>
    <x v="116"/>
    <s v="CUST036"/>
    <x v="20"/>
    <s v="P008"/>
    <x v="2"/>
    <x v="2"/>
    <x v="1"/>
    <n v="149.99"/>
    <s v="Cash"/>
    <x v="0"/>
    <x v="1"/>
    <x v="168"/>
    <n v="749.95"/>
    <m/>
  </r>
  <r>
    <s v="TRX0207"/>
    <x v="117"/>
    <s v="CUST025"/>
    <x v="14"/>
    <s v="P001"/>
    <x v="4"/>
    <x v="0"/>
    <x v="3"/>
    <n v="899.99"/>
    <s v="PayPal"/>
    <x v="2"/>
    <x v="1"/>
    <x v="169"/>
    <n v="899.99"/>
    <m/>
  </r>
  <r>
    <s v="TRX0056"/>
    <x v="118"/>
    <s v="CUST019"/>
    <x v="29"/>
    <s v="P010"/>
    <x v="8"/>
    <x v="0"/>
    <x v="2"/>
    <n v="89.99"/>
    <s v="Credit Card"/>
    <x v="1"/>
    <x v="1"/>
    <x v="170"/>
    <n v="179.98"/>
    <m/>
  </r>
  <r>
    <s v="TRX0026"/>
    <x v="119"/>
    <s v="CUST037"/>
    <x v="48"/>
    <s v="P001"/>
    <x v="4"/>
    <x v="0"/>
    <x v="3"/>
    <n v="899.99"/>
    <s v="PayPal"/>
    <x v="2"/>
    <x v="2"/>
    <x v="171"/>
    <n v="899.99"/>
    <m/>
  </r>
  <r>
    <s v="TRX0237"/>
    <x v="120"/>
    <s v="CUST006"/>
    <x v="24"/>
    <s v="P003"/>
    <x v="3"/>
    <x v="0"/>
    <x v="1"/>
    <n v="149.99"/>
    <s v="PayPal"/>
    <x v="4"/>
    <x v="1"/>
    <x v="34"/>
    <n v="749.95"/>
    <m/>
  </r>
  <r>
    <s v="TRX0091"/>
    <x v="120"/>
    <s v="CUST003"/>
    <x v="4"/>
    <s v="P007"/>
    <x v="6"/>
    <x v="2"/>
    <x v="0"/>
    <n v="299.99"/>
    <s v="Cash"/>
    <x v="1"/>
    <x v="2"/>
    <x v="172"/>
    <n v="899.97"/>
    <m/>
  </r>
  <r>
    <s v="TRX0125"/>
    <x v="121"/>
    <s v="CUST026"/>
    <x v="8"/>
    <s v="P002"/>
    <x v="5"/>
    <x v="0"/>
    <x v="0"/>
    <n v="699.99"/>
    <s v="Credit Card"/>
    <x v="0"/>
    <x v="1"/>
    <x v="173"/>
    <n v="2099.9699999999998"/>
    <m/>
  </r>
  <r>
    <s v="TRX0223"/>
    <x v="122"/>
    <s v="CUST036"/>
    <x v="20"/>
    <s v="P006"/>
    <x v="9"/>
    <x v="2"/>
    <x v="1"/>
    <n v="199.99"/>
    <s v="PayPal"/>
    <x v="0"/>
    <x v="2"/>
    <x v="174"/>
    <n v="999.95"/>
    <m/>
  </r>
  <r>
    <s v="TRX0243"/>
    <x v="122"/>
    <s v="CUST048"/>
    <x v="16"/>
    <s v="P009"/>
    <x v="0"/>
    <x v="0"/>
    <x v="1"/>
    <n v="249.99"/>
    <s v="Credit Card"/>
    <x v="1"/>
    <x v="0"/>
    <x v="175"/>
    <n v="1249.95"/>
    <m/>
  </r>
  <r>
    <s v="TRX0084"/>
    <x v="123"/>
    <s v="CUST031"/>
    <x v="26"/>
    <s v="P003"/>
    <x v="3"/>
    <x v="0"/>
    <x v="4"/>
    <n v="149.99"/>
    <s v="Debit Card"/>
    <x v="4"/>
    <x v="2"/>
    <x v="176"/>
    <n v="599.96"/>
    <m/>
  </r>
  <r>
    <s v="TRX0238"/>
    <x v="123"/>
    <s v="CUST038"/>
    <x v="12"/>
    <s v="P002"/>
    <x v="5"/>
    <x v="0"/>
    <x v="0"/>
    <n v="699.99"/>
    <s v="Cash"/>
    <x v="2"/>
    <x v="1"/>
    <x v="177"/>
    <n v="2099.9699999999998"/>
    <m/>
  </r>
  <r>
    <s v="TRX0102"/>
    <x v="124"/>
    <s v="CUST045"/>
    <x v="46"/>
    <s v="P004"/>
    <x v="7"/>
    <x v="1"/>
    <x v="3"/>
    <n v="79.989999999999995"/>
    <s v="Credit Card"/>
    <x v="1"/>
    <x v="0"/>
    <x v="178"/>
    <n v="79.989999999999995"/>
    <m/>
  </r>
  <r>
    <s v="TRX0022"/>
    <x v="124"/>
    <s v="CUST025"/>
    <x v="14"/>
    <s v="P007"/>
    <x v="6"/>
    <x v="2"/>
    <x v="3"/>
    <n v="299.99"/>
    <s v="Credit Card"/>
    <x v="2"/>
    <x v="0"/>
    <x v="179"/>
    <n v="299.99"/>
    <m/>
  </r>
  <r>
    <s v="TRX0087"/>
    <x v="125"/>
    <s v="CUST028"/>
    <x v="32"/>
    <s v="P009"/>
    <x v="0"/>
    <x v="0"/>
    <x v="4"/>
    <n v="249.99"/>
    <s v="Credit Card"/>
    <x v="2"/>
    <x v="1"/>
    <x v="116"/>
    <n v="999.96"/>
    <m/>
  </r>
  <r>
    <s v="TRX0107"/>
    <x v="125"/>
    <s v="CUST030"/>
    <x v="22"/>
    <s v="P003"/>
    <x v="3"/>
    <x v="0"/>
    <x v="2"/>
    <n v="149.99"/>
    <s v="Cash"/>
    <x v="2"/>
    <x v="2"/>
    <x v="180"/>
    <n v="299.98"/>
    <m/>
  </r>
  <r>
    <s v="TRX0051"/>
    <x v="125"/>
    <s v="CUST032"/>
    <x v="42"/>
    <s v="P007"/>
    <x v="6"/>
    <x v="2"/>
    <x v="0"/>
    <n v="299.99"/>
    <s v="Credit Card"/>
    <x v="1"/>
    <x v="0"/>
    <x v="181"/>
    <n v="899.97"/>
    <m/>
  </r>
  <r>
    <s v="TRX0106"/>
    <x v="126"/>
    <s v="CUST039"/>
    <x v="40"/>
    <s v="P006"/>
    <x v="9"/>
    <x v="2"/>
    <x v="4"/>
    <n v="199.99"/>
    <s v="Debit Card"/>
    <x v="1"/>
    <x v="2"/>
    <x v="182"/>
    <n v="799.96"/>
    <m/>
  </r>
  <r>
    <s v="TRX0059"/>
    <x v="126"/>
    <s v="CUST016"/>
    <x v="39"/>
    <s v="P007"/>
    <x v="6"/>
    <x v="2"/>
    <x v="1"/>
    <n v="299.99"/>
    <s v="Debit Card"/>
    <x v="0"/>
    <x v="0"/>
    <x v="183"/>
    <n v="1499.95"/>
    <m/>
  </r>
  <r>
    <s v="TRX0072"/>
    <x v="126"/>
    <s v="CUST009"/>
    <x v="7"/>
    <s v="P008"/>
    <x v="2"/>
    <x v="2"/>
    <x v="0"/>
    <n v="149.99"/>
    <s v="Credit Card"/>
    <x v="4"/>
    <x v="2"/>
    <x v="184"/>
    <n v="449.97"/>
    <m/>
  </r>
  <r>
    <s v="TRX0110"/>
    <x v="127"/>
    <s v="CUST006"/>
    <x v="24"/>
    <s v="P005"/>
    <x v="1"/>
    <x v="1"/>
    <x v="1"/>
    <n v="59.99"/>
    <s v="Debit Card"/>
    <x v="4"/>
    <x v="0"/>
    <x v="185"/>
    <n v="299.95"/>
    <m/>
  </r>
  <r>
    <s v="TRX0126"/>
    <x v="128"/>
    <s v="CUST022"/>
    <x v="9"/>
    <s v="P005"/>
    <x v="1"/>
    <x v="1"/>
    <x v="4"/>
    <n v="59.99"/>
    <s v="Debit Card"/>
    <x v="4"/>
    <x v="2"/>
    <x v="170"/>
    <n v="239.96"/>
    <m/>
  </r>
  <r>
    <s v="TRX0159"/>
    <x v="129"/>
    <s v="CUST024"/>
    <x v="5"/>
    <s v="P009"/>
    <x v="0"/>
    <x v="0"/>
    <x v="4"/>
    <n v="249.99"/>
    <s v="Debit Card"/>
    <x v="0"/>
    <x v="1"/>
    <x v="186"/>
    <n v="999.96"/>
    <m/>
  </r>
  <r>
    <s v="TRX0030"/>
    <x v="130"/>
    <s v="CUST011"/>
    <x v="44"/>
    <s v="P001"/>
    <x v="4"/>
    <x v="0"/>
    <x v="4"/>
    <n v="899.99"/>
    <s v="PayPal"/>
    <x v="0"/>
    <x v="0"/>
    <x v="187"/>
    <n v="3599.96"/>
    <m/>
  </r>
  <r>
    <s v="TRX0178"/>
    <x v="130"/>
    <s v="CUST025"/>
    <x v="14"/>
    <s v="P007"/>
    <x v="6"/>
    <x v="2"/>
    <x v="0"/>
    <n v="299.99"/>
    <s v="Debit Card"/>
    <x v="3"/>
    <x v="2"/>
    <x v="188"/>
    <n v="899.97"/>
    <m/>
  </r>
  <r>
    <s v="TRX0188"/>
    <x v="130"/>
    <s v="CUST045"/>
    <x v="46"/>
    <s v="P002"/>
    <x v="5"/>
    <x v="0"/>
    <x v="2"/>
    <n v="699.99"/>
    <s v="Debit Card"/>
    <x v="0"/>
    <x v="1"/>
    <x v="189"/>
    <n v="1399.98"/>
    <m/>
  </r>
  <r>
    <s v="TRX0010"/>
    <x v="131"/>
    <s v="CUST026"/>
    <x v="8"/>
    <s v="P002"/>
    <x v="5"/>
    <x v="0"/>
    <x v="4"/>
    <n v="699.99"/>
    <s v="Debit Card"/>
    <x v="3"/>
    <x v="1"/>
    <x v="190"/>
    <n v="2799.96"/>
    <m/>
  </r>
  <r>
    <s v="TRX0069"/>
    <x v="131"/>
    <s v="CUST029"/>
    <x v="23"/>
    <s v="P010"/>
    <x v="8"/>
    <x v="0"/>
    <x v="2"/>
    <n v="89.99"/>
    <s v="Debit Card"/>
    <x v="1"/>
    <x v="0"/>
    <x v="191"/>
    <n v="179.98"/>
    <m/>
  </r>
  <r>
    <s v="TRX0166"/>
    <x v="131"/>
    <s v="CUST003"/>
    <x v="4"/>
    <s v="P010"/>
    <x v="8"/>
    <x v="0"/>
    <x v="0"/>
    <n v="89.99"/>
    <s v="Debit Card"/>
    <x v="1"/>
    <x v="1"/>
    <x v="192"/>
    <n v="269.97000000000003"/>
    <m/>
  </r>
  <r>
    <s v="TRX0219"/>
    <x v="132"/>
    <s v="CUST037"/>
    <x v="48"/>
    <s v="P005"/>
    <x v="1"/>
    <x v="1"/>
    <x v="3"/>
    <n v="59.99"/>
    <s v="Debit Card"/>
    <x v="0"/>
    <x v="2"/>
    <x v="193"/>
    <n v="59.99"/>
    <m/>
  </r>
  <r>
    <s v="TRX0024"/>
    <x v="133"/>
    <s v="CUST042"/>
    <x v="43"/>
    <s v="P008"/>
    <x v="2"/>
    <x v="2"/>
    <x v="0"/>
    <n v="149.99"/>
    <s v="Debit Card"/>
    <x v="2"/>
    <x v="1"/>
    <x v="170"/>
    <n v="449.97"/>
    <m/>
  </r>
  <r>
    <s v="TRX0105"/>
    <x v="133"/>
    <s v="CUST048"/>
    <x v="16"/>
    <s v="P007"/>
    <x v="6"/>
    <x v="2"/>
    <x v="1"/>
    <n v="299.99"/>
    <s v="Credit Card"/>
    <x v="1"/>
    <x v="0"/>
    <x v="194"/>
    <n v="1499.95"/>
    <m/>
  </r>
  <r>
    <s v="TRX0011"/>
    <x v="134"/>
    <s v="CUST040"/>
    <x v="30"/>
    <s v="P005"/>
    <x v="1"/>
    <x v="1"/>
    <x v="1"/>
    <n v="59.99"/>
    <s v="Debit Card"/>
    <x v="0"/>
    <x v="2"/>
    <x v="195"/>
    <n v="299.95"/>
    <m/>
  </r>
  <r>
    <s v="TRX0187"/>
    <x v="135"/>
    <s v="CUST036"/>
    <x v="20"/>
    <s v="P004"/>
    <x v="7"/>
    <x v="1"/>
    <x v="0"/>
    <n v="79.989999999999995"/>
    <s v="Cash"/>
    <x v="4"/>
    <x v="1"/>
    <x v="179"/>
    <n v="239.97"/>
    <m/>
  </r>
  <r>
    <s v="TRX0089"/>
    <x v="136"/>
    <s v="CUST021"/>
    <x v="2"/>
    <s v="P006"/>
    <x v="9"/>
    <x v="2"/>
    <x v="0"/>
    <n v="199.99"/>
    <s v="Cash"/>
    <x v="0"/>
    <x v="0"/>
    <x v="196"/>
    <n v="599.97"/>
    <m/>
  </r>
  <r>
    <s v="TRX0196"/>
    <x v="136"/>
    <s v="CUST023"/>
    <x v="0"/>
    <s v="P010"/>
    <x v="8"/>
    <x v="0"/>
    <x v="2"/>
    <n v="89.99"/>
    <s v="PayPal"/>
    <x v="0"/>
    <x v="0"/>
    <x v="197"/>
    <n v="179.98"/>
    <m/>
  </r>
  <r>
    <s v="TRX0118"/>
    <x v="137"/>
    <s v="CUST015"/>
    <x v="45"/>
    <s v="P008"/>
    <x v="2"/>
    <x v="2"/>
    <x v="2"/>
    <n v="149.99"/>
    <s v="Cash"/>
    <x v="1"/>
    <x v="1"/>
    <x v="198"/>
    <n v="299.98"/>
    <m/>
  </r>
  <r>
    <s v="TRX0179"/>
    <x v="138"/>
    <s v="CUST029"/>
    <x v="23"/>
    <s v="P002"/>
    <x v="5"/>
    <x v="0"/>
    <x v="1"/>
    <n v="699.99"/>
    <s v="PayPal"/>
    <x v="1"/>
    <x v="1"/>
    <x v="54"/>
    <n v="3499.95"/>
    <m/>
  </r>
  <r>
    <s v="TRX0168"/>
    <x v="138"/>
    <s v="CUST003"/>
    <x v="4"/>
    <s v="P008"/>
    <x v="2"/>
    <x v="2"/>
    <x v="0"/>
    <n v="149.99"/>
    <s v="PayPal"/>
    <x v="0"/>
    <x v="2"/>
    <x v="174"/>
    <n v="449.97"/>
    <m/>
  </r>
  <r>
    <s v="TRX0214"/>
    <x v="139"/>
    <s v="CUST018"/>
    <x v="17"/>
    <s v="P001"/>
    <x v="4"/>
    <x v="0"/>
    <x v="0"/>
    <n v="899.99"/>
    <s v="Cash"/>
    <x v="4"/>
    <x v="2"/>
    <x v="199"/>
    <n v="2699.97"/>
    <m/>
  </r>
  <r>
    <s v="TRX0221"/>
    <x v="139"/>
    <s v="CUST033"/>
    <x v="37"/>
    <s v="P006"/>
    <x v="9"/>
    <x v="2"/>
    <x v="0"/>
    <n v="199.99"/>
    <s v="Cash"/>
    <x v="3"/>
    <x v="1"/>
    <x v="31"/>
    <n v="599.97"/>
    <m/>
  </r>
  <r>
    <s v="TRX0083"/>
    <x v="140"/>
    <s v="CUST017"/>
    <x v="6"/>
    <s v="P007"/>
    <x v="6"/>
    <x v="2"/>
    <x v="1"/>
    <n v="299.99"/>
    <s v="Cash"/>
    <x v="3"/>
    <x v="2"/>
    <x v="200"/>
    <n v="1499.95"/>
    <m/>
  </r>
  <r>
    <s v="TRX0151"/>
    <x v="140"/>
    <s v="CUST040"/>
    <x v="30"/>
    <s v="P002"/>
    <x v="5"/>
    <x v="0"/>
    <x v="3"/>
    <n v="699.99"/>
    <s v="PayPal"/>
    <x v="3"/>
    <x v="0"/>
    <x v="201"/>
    <n v="699.99"/>
    <m/>
  </r>
  <r>
    <s v="TRX0047"/>
    <x v="141"/>
    <s v="CUST042"/>
    <x v="43"/>
    <s v="P002"/>
    <x v="5"/>
    <x v="0"/>
    <x v="3"/>
    <n v="699.99"/>
    <s v="Cash"/>
    <x v="2"/>
    <x v="1"/>
    <x v="145"/>
    <n v="699.99"/>
    <m/>
  </r>
  <r>
    <s v="TRX0200"/>
    <x v="141"/>
    <s v="CUST037"/>
    <x v="48"/>
    <s v="P008"/>
    <x v="2"/>
    <x v="2"/>
    <x v="4"/>
    <n v="149.99"/>
    <s v="PayPal"/>
    <x v="2"/>
    <x v="1"/>
    <x v="30"/>
    <n v="599.96"/>
    <m/>
  </r>
  <r>
    <s v="TRX0062"/>
    <x v="141"/>
    <s v="CUST016"/>
    <x v="39"/>
    <s v="P010"/>
    <x v="8"/>
    <x v="0"/>
    <x v="1"/>
    <n v="89.99"/>
    <s v="PayPal"/>
    <x v="3"/>
    <x v="1"/>
    <x v="202"/>
    <n v="449.95"/>
    <m/>
  </r>
  <r>
    <s v="TRX0182"/>
    <x v="142"/>
    <s v="CUST031"/>
    <x v="26"/>
    <s v="P006"/>
    <x v="9"/>
    <x v="2"/>
    <x v="2"/>
    <n v="199.99"/>
    <s v="Cash"/>
    <x v="0"/>
    <x v="1"/>
    <x v="203"/>
    <n v="399.98"/>
    <m/>
  </r>
  <r>
    <s v="TRX0229"/>
    <x v="143"/>
    <s v="CUST015"/>
    <x v="45"/>
    <s v="P005"/>
    <x v="1"/>
    <x v="1"/>
    <x v="4"/>
    <n v="59.99"/>
    <s v="Cash"/>
    <x v="3"/>
    <x v="2"/>
    <x v="204"/>
    <n v="239.96"/>
    <m/>
  </r>
  <r>
    <s v="TRX0048"/>
    <x v="143"/>
    <s v="CUST048"/>
    <x v="16"/>
    <s v="P007"/>
    <x v="6"/>
    <x v="2"/>
    <x v="2"/>
    <n v="299.99"/>
    <s v="PayPal"/>
    <x v="1"/>
    <x v="0"/>
    <x v="205"/>
    <n v="599.98"/>
    <m/>
  </r>
  <r>
    <s v="TRX0227"/>
    <x v="144"/>
    <s v="CUST017"/>
    <x v="6"/>
    <s v="P008"/>
    <x v="2"/>
    <x v="2"/>
    <x v="2"/>
    <n v="149.99"/>
    <s v="Cash"/>
    <x v="0"/>
    <x v="0"/>
    <x v="32"/>
    <n v="299.98"/>
    <m/>
  </r>
  <r>
    <s v="TRX0226"/>
    <x v="145"/>
    <s v="CUST039"/>
    <x v="40"/>
    <s v="P002"/>
    <x v="5"/>
    <x v="0"/>
    <x v="1"/>
    <n v="699.99"/>
    <s v="Debit Card"/>
    <x v="4"/>
    <x v="1"/>
    <x v="65"/>
    <n v="3499.95"/>
    <m/>
  </r>
  <r>
    <s v="TRX0053"/>
    <x v="146"/>
    <s v="CUST043"/>
    <x v="11"/>
    <s v="P005"/>
    <x v="1"/>
    <x v="1"/>
    <x v="1"/>
    <n v="59.99"/>
    <s v="Cash"/>
    <x v="3"/>
    <x v="1"/>
    <x v="206"/>
    <n v="299.95"/>
    <m/>
  </r>
  <r>
    <s v="TRX0233"/>
    <x v="147"/>
    <s v="CUST023"/>
    <x v="0"/>
    <s v="P010"/>
    <x v="8"/>
    <x v="0"/>
    <x v="2"/>
    <n v="89.99"/>
    <s v="Credit Card"/>
    <x v="3"/>
    <x v="1"/>
    <x v="4"/>
    <n v="179.98"/>
    <m/>
  </r>
  <r>
    <s v="TRX0175"/>
    <x v="147"/>
    <s v="CUST030"/>
    <x v="22"/>
    <s v="P009"/>
    <x v="0"/>
    <x v="0"/>
    <x v="1"/>
    <n v="249.99"/>
    <s v="Cash"/>
    <x v="4"/>
    <x v="2"/>
    <x v="207"/>
    <n v="1249.95"/>
    <m/>
  </r>
  <r>
    <s v="TRX0186"/>
    <x v="148"/>
    <s v="CUST039"/>
    <x v="40"/>
    <s v="P008"/>
    <x v="2"/>
    <x v="2"/>
    <x v="2"/>
    <n v="149.99"/>
    <s v="PayPal"/>
    <x v="0"/>
    <x v="1"/>
    <x v="208"/>
    <n v="299.98"/>
    <m/>
  </r>
  <r>
    <s v="TRX0016"/>
    <x v="148"/>
    <s v="CUST035"/>
    <x v="28"/>
    <s v="P001"/>
    <x v="4"/>
    <x v="0"/>
    <x v="1"/>
    <n v="899.99"/>
    <s v="PayPal"/>
    <x v="4"/>
    <x v="1"/>
    <x v="64"/>
    <n v="4499.95"/>
    <m/>
  </r>
  <r>
    <s v="TRX0199"/>
    <x v="148"/>
    <s v="CUST017"/>
    <x v="6"/>
    <s v="P008"/>
    <x v="2"/>
    <x v="2"/>
    <x v="4"/>
    <n v="149.99"/>
    <s v="Cash"/>
    <x v="0"/>
    <x v="2"/>
    <x v="209"/>
    <n v="599.96"/>
    <m/>
  </r>
  <r>
    <s v="TRX0038"/>
    <x v="149"/>
    <s v="CUST035"/>
    <x v="28"/>
    <s v="P009"/>
    <x v="0"/>
    <x v="0"/>
    <x v="3"/>
    <n v="249.99"/>
    <s v="Cash"/>
    <x v="2"/>
    <x v="2"/>
    <x v="210"/>
    <n v="249.99"/>
    <m/>
  </r>
  <r>
    <s v="TRX0014"/>
    <x v="150"/>
    <s v="CUST033"/>
    <x v="37"/>
    <s v="P005"/>
    <x v="1"/>
    <x v="1"/>
    <x v="2"/>
    <n v="59.99"/>
    <s v="Credit Card"/>
    <x v="3"/>
    <x v="0"/>
    <x v="211"/>
    <n v="119.98"/>
    <m/>
  </r>
  <r>
    <s v="TRX0003"/>
    <x v="151"/>
    <s v="CUST002"/>
    <x v="25"/>
    <s v="P008"/>
    <x v="2"/>
    <x v="2"/>
    <x v="2"/>
    <n v="149.99"/>
    <s v="Cash"/>
    <x v="3"/>
    <x v="1"/>
    <x v="212"/>
    <n v="299.98"/>
    <m/>
  </r>
  <r>
    <s v="TRX0124"/>
    <x v="151"/>
    <s v="CUST040"/>
    <x v="30"/>
    <s v="P001"/>
    <x v="4"/>
    <x v="0"/>
    <x v="0"/>
    <n v="899.99"/>
    <s v="Debit Card"/>
    <x v="2"/>
    <x v="1"/>
    <x v="213"/>
    <n v="2699.97"/>
    <m/>
  </r>
  <r>
    <s v="TRX0013"/>
    <x v="151"/>
    <s v="CUST024"/>
    <x v="5"/>
    <s v="P001"/>
    <x v="4"/>
    <x v="0"/>
    <x v="0"/>
    <n v="899.99"/>
    <s v="PayPal"/>
    <x v="2"/>
    <x v="0"/>
    <x v="214"/>
    <n v="2699.97"/>
    <m/>
  </r>
  <r>
    <s v="TRX0019"/>
    <x v="152"/>
    <s v="CUST023"/>
    <x v="0"/>
    <s v="P007"/>
    <x v="6"/>
    <x v="2"/>
    <x v="0"/>
    <n v="299.99"/>
    <s v="Credit Card"/>
    <x v="3"/>
    <x v="1"/>
    <x v="215"/>
    <n v="899.97"/>
    <m/>
  </r>
  <r>
    <s v="TRX0050"/>
    <x v="153"/>
    <s v="CUST001"/>
    <x v="49"/>
    <s v="P008"/>
    <x v="2"/>
    <x v="2"/>
    <x v="4"/>
    <n v="149.99"/>
    <s v="PayPal"/>
    <x v="3"/>
    <x v="2"/>
    <x v="144"/>
    <n v="599.96"/>
    <m/>
  </r>
  <r>
    <s v="TRX0152"/>
    <x v="154"/>
    <s v="CUST044"/>
    <x v="19"/>
    <s v="P004"/>
    <x v="7"/>
    <x v="1"/>
    <x v="4"/>
    <n v="79.989999999999995"/>
    <s v="Credit Card"/>
    <x v="0"/>
    <x v="0"/>
    <x v="216"/>
    <n v="319.95999999999998"/>
    <m/>
  </r>
  <r>
    <s v="TRX0213"/>
    <x v="155"/>
    <s v="CUST020"/>
    <x v="36"/>
    <s v="P010"/>
    <x v="8"/>
    <x v="0"/>
    <x v="1"/>
    <n v="89.99"/>
    <s v="PayPal"/>
    <x v="1"/>
    <x v="0"/>
    <x v="217"/>
    <n v="449.95"/>
    <m/>
  </r>
  <r>
    <s v="TRX0197"/>
    <x v="156"/>
    <s v="CUST048"/>
    <x v="16"/>
    <s v="P008"/>
    <x v="2"/>
    <x v="2"/>
    <x v="0"/>
    <n v="149.99"/>
    <s v="PayPal"/>
    <x v="0"/>
    <x v="2"/>
    <x v="218"/>
    <n v="449.97"/>
    <m/>
  </r>
  <r>
    <s v="TRX0250"/>
    <x v="156"/>
    <s v="CUST026"/>
    <x v="8"/>
    <s v="P010"/>
    <x v="8"/>
    <x v="0"/>
    <x v="2"/>
    <n v="89.99"/>
    <s v="Debit Card"/>
    <x v="3"/>
    <x v="1"/>
    <x v="164"/>
    <n v="179.98"/>
    <m/>
  </r>
  <r>
    <s v="TRX0068"/>
    <x v="157"/>
    <s v="CUST044"/>
    <x v="19"/>
    <s v="P002"/>
    <x v="5"/>
    <x v="0"/>
    <x v="2"/>
    <n v="699.99"/>
    <s v="PayPal"/>
    <x v="2"/>
    <x v="2"/>
    <x v="111"/>
    <n v="1399.98"/>
    <m/>
  </r>
  <r>
    <s v="TRX0144"/>
    <x v="158"/>
    <s v="CUST029"/>
    <x v="23"/>
    <s v="P001"/>
    <x v="4"/>
    <x v="0"/>
    <x v="0"/>
    <n v="899.99"/>
    <s v="Cash"/>
    <x v="0"/>
    <x v="2"/>
    <x v="115"/>
    <n v="2699.97"/>
    <m/>
  </r>
  <r>
    <s v="TRX0039"/>
    <x v="159"/>
    <s v="CUST048"/>
    <x v="16"/>
    <s v="P004"/>
    <x v="7"/>
    <x v="1"/>
    <x v="0"/>
    <n v="79.989999999999995"/>
    <s v="Credit Card"/>
    <x v="2"/>
    <x v="0"/>
    <x v="219"/>
    <n v="239.97"/>
    <m/>
  </r>
  <r>
    <s v="TRX0116"/>
    <x v="160"/>
    <s v="CUST009"/>
    <x v="7"/>
    <s v="P010"/>
    <x v="8"/>
    <x v="0"/>
    <x v="3"/>
    <n v="89.99"/>
    <s v="Debit Card"/>
    <x v="4"/>
    <x v="0"/>
    <x v="220"/>
    <n v="89.99"/>
    <m/>
  </r>
  <r>
    <s v="TRX0120"/>
    <x v="161"/>
    <s v="CUST045"/>
    <x v="46"/>
    <s v="P002"/>
    <x v="5"/>
    <x v="0"/>
    <x v="0"/>
    <n v="699.99"/>
    <s v="PayPal"/>
    <x v="2"/>
    <x v="0"/>
    <x v="67"/>
    <n v="2099.9699999999998"/>
    <m/>
  </r>
  <r>
    <s v="TRX0103"/>
    <x v="161"/>
    <s v="CUST039"/>
    <x v="40"/>
    <s v="P010"/>
    <x v="8"/>
    <x v="0"/>
    <x v="2"/>
    <n v="89.99"/>
    <s v="Debit Card"/>
    <x v="4"/>
    <x v="0"/>
    <x v="221"/>
    <n v="179.98"/>
    <m/>
  </r>
  <r>
    <s v="TRX0064"/>
    <x v="161"/>
    <s v="CUST031"/>
    <x v="26"/>
    <s v="P010"/>
    <x v="8"/>
    <x v="0"/>
    <x v="0"/>
    <n v="89.99"/>
    <s v="Debit Card"/>
    <x v="2"/>
    <x v="1"/>
    <x v="222"/>
    <n v="269.9700000000000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EBF35D-B996-422B-85EA-D1FAEEE3F54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E1:F12"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h="1" x="1"/>
        <item x="0"/>
        <item x="2"/>
        <item t="default"/>
      </items>
    </pivotField>
    <pivotField showAll="0"/>
    <pivotField dataField="1" showAll="0"/>
    <pivotField showAll="0"/>
    <pivotField showAll="0">
      <items count="6">
        <item x="0"/>
        <item x="4"/>
        <item x="2"/>
        <item x="1"/>
        <item x="3"/>
        <item t="default"/>
      </items>
    </pivotField>
    <pivotField showAll="0"/>
    <pivotField numFmtId="14"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Unit_Price" fld="8" baseField="0" baseItem="0"/>
  </dataFields>
  <formats count="6">
    <format dxfId="23">
      <pivotArea type="all" dataOnly="0" outline="0" fieldPosition="0"/>
    </format>
    <format dxfId="22">
      <pivotArea outline="0" collapsedLevelsAreSubtotals="1" fieldPosition="0"/>
    </format>
    <format dxfId="21">
      <pivotArea field="5" type="button" dataOnly="0" labelOnly="1" outline="0" axis="axisRow" fieldPosition="0"/>
    </format>
    <format dxfId="20">
      <pivotArea dataOnly="0" labelOnly="1" fieldPosition="0">
        <references count="1">
          <reference field="5" count="0"/>
        </references>
      </pivotArea>
    </format>
    <format dxfId="19">
      <pivotArea dataOnly="0" labelOnly="1" grandRow="1" outline="0" fieldPosition="0"/>
    </format>
    <format dxfId="18">
      <pivotArea dataOnly="0" labelOnly="1" outline="0" axis="axisValues" fieldPosition="0"/>
    </format>
  </formats>
  <chartFormats count="4">
    <chartFormat chart="16"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D6ACC0-AD80-4050-A575-6739DBB8C639}" name="unit_price_vs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1:C7" firstHeaderRow="1" firstDataRow="1" firstDataCol="1"/>
  <pivotFields count="15">
    <pivotField showAll="0"/>
    <pivotField numFmtId="14" showAll="0"/>
    <pivotField showAll="0"/>
    <pivotField showAll="0"/>
    <pivotField showAll="0"/>
    <pivotField showAll="0"/>
    <pivotField showAll="0"/>
    <pivotField showAll="0"/>
    <pivotField dataField="1" showAll="0"/>
    <pivotField showAll="0"/>
    <pivotField axis="axisRow" showAll="0">
      <items count="6">
        <item x="0"/>
        <item x="4"/>
        <item x="2"/>
        <item x="1"/>
        <item x="3"/>
        <item t="default"/>
      </items>
    </pivotField>
    <pivotField showAll="0"/>
    <pivotField numFmtId="14" showAll="0"/>
    <pivotField showAll="0"/>
    <pivotField showAll="0"/>
  </pivotFields>
  <rowFields count="1">
    <field x="10"/>
  </rowFields>
  <rowItems count="6">
    <i>
      <x/>
    </i>
    <i>
      <x v="1"/>
    </i>
    <i>
      <x v="2"/>
    </i>
    <i>
      <x v="3"/>
    </i>
    <i>
      <x v="4"/>
    </i>
    <i t="grand">
      <x/>
    </i>
  </rowItems>
  <colItems count="1">
    <i/>
  </colItems>
  <dataFields count="1">
    <dataField name="Sum of Unit_Price" fld="8" baseField="0" baseItem="0"/>
  </dataFields>
  <formats count="6">
    <format dxfId="29">
      <pivotArea type="all" dataOnly="0" outline="0" fieldPosition="0"/>
    </format>
    <format dxfId="28">
      <pivotArea outline="0" collapsedLevelsAreSubtotals="1" fieldPosition="0"/>
    </format>
    <format dxfId="27">
      <pivotArea field="10" type="button" dataOnly="0" labelOnly="1" outline="0" axis="axisRow" fieldPosition="0"/>
    </format>
    <format dxfId="26">
      <pivotArea dataOnly="0" labelOnly="1" fieldPosition="0">
        <references count="1">
          <reference field="10" count="0"/>
        </references>
      </pivotArea>
    </format>
    <format dxfId="25">
      <pivotArea dataOnly="0" labelOnly="1" grandRow="1" outline="0" fieldPosition="0"/>
    </format>
    <format dxfId="24">
      <pivotArea dataOnly="0" labelOnly="1" outline="0" axis="axisValues" fieldPosition="0"/>
    </format>
  </formats>
  <chartFormats count="6">
    <chartFormat chart="21" format="19" series="1">
      <pivotArea type="data" outline="0" fieldPosition="0">
        <references count="1">
          <reference field="4294967294" count="1" selected="0">
            <x v="0"/>
          </reference>
        </references>
      </pivotArea>
    </chartFormat>
    <chartFormat chart="21" format="20">
      <pivotArea type="data" outline="0" fieldPosition="0">
        <references count="2">
          <reference field="4294967294" count="1" selected="0">
            <x v="0"/>
          </reference>
          <reference field="10" count="1" selected="0">
            <x v="0"/>
          </reference>
        </references>
      </pivotArea>
    </chartFormat>
    <chartFormat chart="21" format="21">
      <pivotArea type="data" outline="0" fieldPosition="0">
        <references count="2">
          <reference field="4294967294" count="1" selected="0">
            <x v="0"/>
          </reference>
          <reference field="10" count="1" selected="0">
            <x v="1"/>
          </reference>
        </references>
      </pivotArea>
    </chartFormat>
    <chartFormat chart="21" format="22">
      <pivotArea type="data" outline="0" fieldPosition="0">
        <references count="2">
          <reference field="4294967294" count="1" selected="0">
            <x v="0"/>
          </reference>
          <reference field="10" count="1" selected="0">
            <x v="2"/>
          </reference>
        </references>
      </pivotArea>
    </chartFormat>
    <chartFormat chart="21" format="23">
      <pivotArea type="data" outline="0" fieldPosition="0">
        <references count="2">
          <reference field="4294967294" count="1" selected="0">
            <x v="0"/>
          </reference>
          <reference field="10" count="1" selected="0">
            <x v="3"/>
          </reference>
        </references>
      </pivotArea>
    </chartFormat>
    <chartFormat chart="21" format="24">
      <pivotArea type="data" outline="0" fieldPosition="0">
        <references count="2">
          <reference field="4294967294" count="1" selected="0">
            <x v="0"/>
          </reference>
          <reference field="10" count="1" selected="0">
            <x v="4"/>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279E47-39D8-4E90-96F8-5B1A99CD33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28" firstHeaderRow="1" firstDataRow="1" firstDataCol="1"/>
  <pivotFields count="15">
    <pivotField showAll="0"/>
    <pivotField numFmtId="14" showAll="0"/>
    <pivotField showAll="0"/>
    <pivotField showAll="0"/>
    <pivotField showAll="0"/>
    <pivotField showAll="0"/>
    <pivotField axis="axisRow" showAll="0">
      <items count="4">
        <item x="1"/>
        <item x="0"/>
        <item x="2"/>
        <item t="default"/>
      </items>
    </pivotField>
    <pivotField showAll="0"/>
    <pivotField showAll="0"/>
    <pivotField showAll="0"/>
    <pivotField axis="axisRow" showAll="0">
      <items count="6">
        <item x="0"/>
        <item x="4"/>
        <item x="2"/>
        <item x="1"/>
        <item x="3"/>
        <item t="default"/>
      </items>
    </pivotField>
    <pivotField showAll="0"/>
    <pivotField numFmtId="14" showAll="0"/>
    <pivotField dataField="1" showAll="0"/>
    <pivotField showAll="0"/>
  </pivotFields>
  <rowFields count="2">
    <field x="6"/>
    <field x="10"/>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Sum of Total_Amount" fld="13" baseField="0" baseItem="0"/>
  </dataFields>
  <formats count="9">
    <format dxfId="38">
      <pivotArea type="all" dataOnly="0" outline="0" fieldPosition="0"/>
    </format>
    <format dxfId="37">
      <pivotArea outline="0" collapsedLevelsAreSubtotals="1" fieldPosition="0"/>
    </format>
    <format dxfId="36">
      <pivotArea field="6" type="button" dataOnly="0" labelOnly="1" outline="0" axis="axisRow" fieldPosition="0"/>
    </format>
    <format dxfId="35">
      <pivotArea dataOnly="0" labelOnly="1" fieldPosition="0">
        <references count="1">
          <reference field="6" count="0"/>
        </references>
      </pivotArea>
    </format>
    <format dxfId="34">
      <pivotArea dataOnly="0" labelOnly="1" grandRow="1" outline="0" fieldPosition="0"/>
    </format>
    <format dxfId="33">
      <pivotArea dataOnly="0" labelOnly="1" fieldPosition="0">
        <references count="2">
          <reference field="6" count="1" selected="0">
            <x v="0"/>
          </reference>
          <reference field="10" count="0"/>
        </references>
      </pivotArea>
    </format>
    <format dxfId="32">
      <pivotArea dataOnly="0" labelOnly="1" fieldPosition="0">
        <references count="2">
          <reference field="6" count="1" selected="0">
            <x v="1"/>
          </reference>
          <reference field="10" count="0"/>
        </references>
      </pivotArea>
    </format>
    <format dxfId="31">
      <pivotArea dataOnly="0" labelOnly="1" fieldPosition="0">
        <references count="2">
          <reference field="6" count="1" selected="0">
            <x v="2"/>
          </reference>
          <reference field="10" count="0"/>
        </references>
      </pivotArea>
    </format>
    <format dxfId="30">
      <pivotArea dataOnly="0" labelOnly="1" outline="0" axis="axisValues"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98C134-DFBE-4FD7-9317-9D9C1F6C35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52" firstHeaderRow="1" firstDataRow="1" firstDataCol="1"/>
  <pivotFields count="15">
    <pivotField showAll="0"/>
    <pivotField numFmtId="14" showAll="0"/>
    <pivotField showAll="0"/>
    <pivotField axis="axisRow"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showAll="0"/>
    <pivotField showAll="0"/>
    <pivotField showAll="0"/>
    <pivotField showAll="0"/>
    <pivotField numFmtId="14" showAll="0"/>
    <pivotField dataField="1" showAll="0"/>
    <pivotField showAll="0"/>
  </pivotFields>
  <rowFields count="1">
    <field x="3"/>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_Amount" fld="13" baseField="0" baseItem="0"/>
  </dataFields>
  <formats count="6">
    <format dxfId="44">
      <pivotArea type="all" dataOnly="0" outline="0" fieldPosition="0"/>
    </format>
    <format dxfId="43">
      <pivotArea outline="0" collapsedLevelsAreSubtotals="1" fieldPosition="0"/>
    </format>
    <format dxfId="42">
      <pivotArea field="3" type="button" dataOnly="0" labelOnly="1" outline="0" axis="axisRow" fieldPosition="0"/>
    </format>
    <format dxfId="41">
      <pivotArea dataOnly="0" labelOnly="1" fieldPosition="0">
        <references count="1">
          <reference field="3" count="0"/>
        </references>
      </pivotArea>
    </format>
    <format dxfId="40">
      <pivotArea dataOnly="0" labelOnly="1" grandRow="1" outline="0" fieldPosition="0"/>
    </format>
    <format dxfId="39">
      <pivotArea dataOnly="0" labelOnly="1" outline="0" axis="axisValues"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3937E4-7625-4FCC-9A1A-DE113B5E4A3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E14:F18"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items count="11">
        <item x="1"/>
        <item x="2"/>
        <item x="7"/>
        <item x="6"/>
        <item x="3"/>
        <item x="8"/>
        <item x="4"/>
        <item x="0"/>
        <item x="9"/>
        <item x="5"/>
        <item t="default"/>
      </items>
    </pivotField>
    <pivotField axis="axisRow"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4" showAll="0"/>
    <pivotField dataField="1" showAll="0"/>
    <pivotField showAll="0"/>
  </pivotFields>
  <rowFields count="1">
    <field x="6"/>
  </rowFields>
  <rowItems count="4">
    <i>
      <x/>
    </i>
    <i>
      <x v="1"/>
    </i>
    <i>
      <x v="2"/>
    </i>
    <i t="grand">
      <x/>
    </i>
  </rowItems>
  <colItems count="1">
    <i/>
  </colItems>
  <dataFields count="1">
    <dataField name="Sum of Total_Amount" fld="13" baseField="0" baseItem="0"/>
  </dataFields>
  <formats count="6">
    <format dxfId="50">
      <pivotArea type="all" dataOnly="0" outline="0" fieldPosition="0"/>
    </format>
    <format dxfId="49">
      <pivotArea outline="0" collapsedLevelsAreSubtotals="1" fieldPosition="0"/>
    </format>
    <format dxfId="48">
      <pivotArea field="6" type="button" dataOnly="0" labelOnly="1" outline="0" axis="axisRow" fieldPosition="0"/>
    </format>
    <format dxfId="47">
      <pivotArea dataOnly="0" labelOnly="1" fieldPosition="0">
        <references count="1">
          <reference field="6" count="0"/>
        </references>
      </pivotArea>
    </format>
    <format dxfId="46">
      <pivotArea dataOnly="0" labelOnly="1" grandRow="1" outline="0" fieldPosition="0"/>
    </format>
    <format dxfId="45">
      <pivotArea dataOnly="0" labelOnly="1" outline="0" axis="axisValues"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04B14C5-A038-4F11-A415-3D6E262517C4}" sourceName="Product_Name">
  <pivotTables>
    <pivotTable tabId="3" name="PivotTable3"/>
  </pivotTables>
  <data>
    <tabular pivotCacheId="1712865799">
      <items count="10">
        <i x="1" s="1"/>
        <i x="2" s="1"/>
        <i x="7" s="1"/>
        <i x="6" s="1"/>
        <i x="3" s="1"/>
        <i x="8" s="1"/>
        <i x="4" s="1"/>
        <i x="0"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EA1A37-345E-44B9-AA4D-90B1AF2834B0}" sourceName="Region">
  <pivotTables>
    <pivotTable tabId="3" name="PivotTable2"/>
    <pivotTable tabId="3" name="PivotTable3"/>
  </pivotTables>
  <data>
    <tabular pivotCacheId="171286579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F2450965-ED4D-41D8-9D26-FE2DDE7A7F67}" cache="Slicer_Product_Name" caption="Product_Name" columnCount="2" style="SlicerStyleLight2" rowHeight="251883"/>
  <slicer name="Region" xr10:uid="{10C9584D-3AC0-4465-B488-017CA59F415B}" cache="Slicer_Region" caption="Region" style="SlicerStyleLigh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78E946-573E-4C0F-89F0-6E7ED3075A7B}" name="data" displayName="data" ref="B1:O251" totalsRowShown="0" headerRowDxfId="69" dataDxfId="67" headerRowBorderDxfId="68" tableBorderDxfId="66" totalsRowBorderDxfId="65">
  <autoFilter ref="B1:O251" xr:uid="{7D78E946-573E-4C0F-89F0-6E7ED3075A7B}"/>
  <tableColumns count="14">
    <tableColumn id="1" xr3:uid="{9A08D09B-9F08-4A77-AA25-B839804FC1D2}" name="Transaction_ID" dataDxfId="64"/>
    <tableColumn id="2" xr3:uid="{A1B91585-CC58-4F68-864C-3EADE341B5D6}" name="Date" dataDxfId="63"/>
    <tableColumn id="3" xr3:uid="{CE195A3A-FF56-4A66-B8BD-9D1CDA473E56}" name="Customer_ID" dataDxfId="62"/>
    <tableColumn id="4" xr3:uid="{BB458824-66F0-468E-89C4-F1C34609E8BA}" name="Customer_Name" dataDxfId="61"/>
    <tableColumn id="5" xr3:uid="{F7BB3D24-6A65-4E94-A494-F90483C46D16}" name="Product_ID" dataDxfId="60"/>
    <tableColumn id="6" xr3:uid="{689BA8AF-EA92-4D87-A5E1-F862D56ECB6F}" name="Product_Name" dataDxfId="59"/>
    <tableColumn id="7" xr3:uid="{77F4FF7F-66B4-4E50-9F1E-5ECD514528FC}" name="Category" dataDxfId="58"/>
    <tableColumn id="8" xr3:uid="{9BE70101-B63E-4359-9437-0C5E71D185F8}" name="Quantity" dataDxfId="57"/>
    <tableColumn id="9" xr3:uid="{28871687-3479-41C1-862F-19BF2E3AE816}" name="Unit_Price" dataDxfId="56"/>
    <tableColumn id="10" xr3:uid="{5C4A740B-6CF7-4421-8E62-E7E9EA7BC10F}" name="Payment_Method" dataDxfId="55"/>
    <tableColumn id="11" xr3:uid="{030C466D-E291-4438-B0A6-EB9A15A1C2AD}" name="Region" dataDxfId="54"/>
    <tableColumn id="12" xr3:uid="{36DF04C1-F1B0-4224-ABF4-E9A4CC9E19FA}" name="Customer_Segment" dataDxfId="53"/>
    <tableColumn id="13" xr3:uid="{8AE1B528-A27C-421D-B797-676BC1E53B07}" name="Customer_Since" dataDxfId="52"/>
    <tableColumn id="14" xr3:uid="{7C6F5E19-37C7-4F8F-80AA-A83EDE88BF5F}" name="Total_Amount" dataDxfId="51"/>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2E5F21-D487-44A2-B76D-8AEA89B77A3B}" name="Table2" displayName="Table2" ref="A1:N251" totalsRowShown="0" headerRowDxfId="0" headerRowBorderDxfId="16" tableBorderDxfId="17" totalsRowBorderDxfId="15">
  <autoFilter ref="A1:N251" xr:uid="{9F2E5F21-D487-44A2-B76D-8AEA89B77A3B}"/>
  <tableColumns count="14">
    <tableColumn id="1" xr3:uid="{8C376D3A-783B-4522-B5F2-EAED858A1CE4}" name="Transaction_ID" dataDxfId="14"/>
    <tableColumn id="2" xr3:uid="{5EA8D639-8524-43FA-8BFE-A36ED434279A}" name="Date" dataDxfId="13"/>
    <tableColumn id="3" xr3:uid="{2C4FD2AC-DBB5-4997-8925-E6356936D386}" name="Customer_ID" dataDxfId="12"/>
    <tableColumn id="4" xr3:uid="{9D615E11-495A-4059-A383-7AE0C088542C}" name="Customer_Name" dataDxfId="11"/>
    <tableColumn id="5" xr3:uid="{7DB6C83B-A288-4C2F-ACFB-13B040EBE7CF}" name="Product_ID" dataDxfId="10"/>
    <tableColumn id="6" xr3:uid="{CCDBBE2A-001D-4A5C-9EC7-06B2C1F17726}" name="Product_Name" dataDxfId="9"/>
    <tableColumn id="7" xr3:uid="{0757A48B-524A-4FDB-8C4D-D23AEAAC668B}" name="Category" dataDxfId="8"/>
    <tableColumn id="8" xr3:uid="{79496367-0A3E-428E-A7C5-BF1E42F66D65}" name="Quantity" dataDxfId="7"/>
    <tableColumn id="9" xr3:uid="{075ABECE-F8D9-4349-9D32-F13269038BBD}" name="Region" dataDxfId="6"/>
    <tableColumn id="10" xr3:uid="{836F24AB-F1B4-4911-8037-4D2481A61593}" name="Unit_Price" dataDxfId="5"/>
    <tableColumn id="11" xr3:uid="{0DF870BD-CB07-4819-9437-17A067A71E79}" name="Payment_Method" dataDxfId="4"/>
    <tableColumn id="12" xr3:uid="{B9F15E71-20FC-4139-9165-6B92BA75CAD8}" name="Customer_Segment" dataDxfId="3"/>
    <tableColumn id="13" xr3:uid="{0FC61878-8180-4EFA-9625-100C300FB408}" name="Total_Amount" dataDxfId="2"/>
    <tableColumn id="14" xr3:uid="{8C45A378-945A-4ABB-B010-DE082E9AAC8A}" name="Customer_Since" dataDxfId="1"/>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EDF94C2-D033-4CDF-A8C6-FD363FB527B2}" sourceName="Date">
  <pivotTables>
    <pivotTable tabId="3" name="PivotTable2"/>
    <pivotTable tabId="3" name="PivotTable3"/>
  </pivotTables>
  <state minimalRefreshVersion="6" lastRefreshVersion="6" pivotCacheId="171286579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E02E1B8-CA5D-40C2-87F0-39269C1AD9F9}" cache="NativeTimeline_Date" caption="Date" showSelectionLabel="0" showTimeLevel="0" showHorizontalScrollbar="0" level="2" selectionLevel="2" scrollPosition="2024-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1F55-9157-4362-8664-3AC9601D6F10}">
  <dimension ref="A1:O251"/>
  <sheetViews>
    <sheetView zoomScale="76" zoomScaleNormal="76" workbookViewId="0">
      <selection sqref="A1:A1048576"/>
    </sheetView>
  </sheetViews>
  <sheetFormatPr defaultRowHeight="14.5" x14ac:dyDescent="0.35"/>
  <cols>
    <col min="1" max="1" width="8.7265625" style="16"/>
    <col min="2" max="2" width="15.453125" customWidth="1"/>
    <col min="3" max="3" width="11.453125" customWidth="1"/>
    <col min="4" max="4" width="13.81640625" customWidth="1"/>
    <col min="5" max="5" width="16.90625" customWidth="1"/>
    <col min="6" max="6" width="12.26953125" customWidth="1"/>
    <col min="7" max="7" width="15.36328125" customWidth="1"/>
    <col min="8" max="8" width="12.1796875" customWidth="1"/>
    <col min="9" max="9" width="10.1796875" customWidth="1"/>
    <col min="10" max="10" width="11.453125" customWidth="1"/>
    <col min="11" max="11" width="18" customWidth="1"/>
    <col min="13" max="13" width="19.26953125" customWidth="1"/>
    <col min="14" max="14" width="16.26953125" customWidth="1"/>
    <col min="15" max="15" width="14.90625" customWidth="1"/>
  </cols>
  <sheetData>
    <row r="1" spans="2:15" ht="15" thickBot="1" x14ac:dyDescent="0.4">
      <c r="B1" s="6" t="s">
        <v>0</v>
      </c>
      <c r="C1" s="7" t="s">
        <v>1</v>
      </c>
      <c r="D1" s="7" t="s">
        <v>2</v>
      </c>
      <c r="E1" s="7" t="s">
        <v>3</v>
      </c>
      <c r="F1" s="7" t="s">
        <v>4</v>
      </c>
      <c r="G1" s="7" t="s">
        <v>5</v>
      </c>
      <c r="H1" s="7" t="s">
        <v>6</v>
      </c>
      <c r="I1" s="7" t="s">
        <v>7</v>
      </c>
      <c r="J1" s="7" t="s">
        <v>8</v>
      </c>
      <c r="K1" s="7" t="s">
        <v>9</v>
      </c>
      <c r="L1" s="7" t="s">
        <v>10</v>
      </c>
      <c r="M1" s="7" t="s">
        <v>11</v>
      </c>
      <c r="N1" s="7" t="s">
        <v>12</v>
      </c>
      <c r="O1" s="8" t="s">
        <v>13</v>
      </c>
    </row>
    <row r="2" spans="2:15" ht="15" thickBot="1" x14ac:dyDescent="0.4">
      <c r="B2" s="4" t="s">
        <v>14</v>
      </c>
      <c r="C2" s="2">
        <v>45393</v>
      </c>
      <c r="D2" s="1" t="s">
        <v>15</v>
      </c>
      <c r="E2" s="1" t="s">
        <v>16</v>
      </c>
      <c r="F2" s="1" t="s">
        <v>17</v>
      </c>
      <c r="G2" s="1" t="s">
        <v>18</v>
      </c>
      <c r="H2" s="1" t="s">
        <v>19</v>
      </c>
      <c r="I2" s="3">
        <v>3</v>
      </c>
      <c r="J2" s="3">
        <v>249.99</v>
      </c>
      <c r="K2" s="1" t="s">
        <v>20</v>
      </c>
      <c r="L2" s="1" t="s">
        <v>21</v>
      </c>
      <c r="M2" s="1" t="s">
        <v>22</v>
      </c>
      <c r="N2" s="2">
        <v>44425</v>
      </c>
      <c r="O2" s="5">
        <v>749.97</v>
      </c>
    </row>
    <row r="3" spans="2:15" ht="15" thickBot="1" x14ac:dyDescent="0.4">
      <c r="B3" s="4" t="s">
        <v>23</v>
      </c>
      <c r="C3" s="2">
        <v>45396</v>
      </c>
      <c r="D3" s="1" t="s">
        <v>24</v>
      </c>
      <c r="E3" s="1" t="s">
        <v>25</v>
      </c>
      <c r="F3" s="1" t="s">
        <v>17</v>
      </c>
      <c r="G3" s="1" t="s">
        <v>18</v>
      </c>
      <c r="H3" s="1" t="s">
        <v>19</v>
      </c>
      <c r="I3" s="3">
        <v>3</v>
      </c>
      <c r="J3" s="3">
        <v>249.99</v>
      </c>
      <c r="K3" s="1" t="s">
        <v>26</v>
      </c>
      <c r="L3" s="1" t="s">
        <v>21</v>
      </c>
      <c r="M3" s="1" t="s">
        <v>27</v>
      </c>
      <c r="N3" s="2">
        <v>44575</v>
      </c>
      <c r="O3" s="5">
        <v>749.97</v>
      </c>
    </row>
    <row r="4" spans="2:15" ht="15" thickBot="1" x14ac:dyDescent="0.4">
      <c r="B4" s="4" t="s">
        <v>28</v>
      </c>
      <c r="C4" s="2">
        <v>45399</v>
      </c>
      <c r="D4" s="1" t="s">
        <v>29</v>
      </c>
      <c r="E4" s="1" t="s">
        <v>30</v>
      </c>
      <c r="F4" s="1" t="s">
        <v>31</v>
      </c>
      <c r="G4" s="1" t="s">
        <v>32</v>
      </c>
      <c r="H4" s="1" t="s">
        <v>33</v>
      </c>
      <c r="I4" s="3">
        <v>3</v>
      </c>
      <c r="J4" s="3">
        <v>59.99</v>
      </c>
      <c r="K4" s="1" t="s">
        <v>34</v>
      </c>
      <c r="L4" s="1" t="s">
        <v>35</v>
      </c>
      <c r="M4" s="1" t="s">
        <v>36</v>
      </c>
      <c r="N4" s="2">
        <v>45262</v>
      </c>
      <c r="O4" s="5">
        <v>179.97</v>
      </c>
    </row>
    <row r="5" spans="2:15" ht="13" customHeight="1" thickBot="1" x14ac:dyDescent="0.4">
      <c r="B5" s="4" t="s">
        <v>37</v>
      </c>
      <c r="C5" s="2">
        <v>45400</v>
      </c>
      <c r="D5" s="1" t="s">
        <v>38</v>
      </c>
      <c r="E5" s="1" t="s">
        <v>39</v>
      </c>
      <c r="F5" s="1" t="s">
        <v>31</v>
      </c>
      <c r="G5" s="1" t="s">
        <v>32</v>
      </c>
      <c r="H5" s="1" t="s">
        <v>33</v>
      </c>
      <c r="I5" s="3">
        <v>3</v>
      </c>
      <c r="J5" s="3">
        <v>59.99</v>
      </c>
      <c r="K5" s="1" t="s">
        <v>20</v>
      </c>
      <c r="L5" s="1" t="s">
        <v>40</v>
      </c>
      <c r="M5" s="1" t="s">
        <v>27</v>
      </c>
      <c r="N5" s="2">
        <v>45114</v>
      </c>
      <c r="O5" s="5">
        <v>179.97</v>
      </c>
    </row>
    <row r="6" spans="2:15" ht="15" thickBot="1" x14ac:dyDescent="0.4">
      <c r="B6" s="4" t="s">
        <v>41</v>
      </c>
      <c r="C6" s="2">
        <v>45400</v>
      </c>
      <c r="D6" s="1" t="s">
        <v>42</v>
      </c>
      <c r="E6" s="1" t="s">
        <v>43</v>
      </c>
      <c r="F6" s="1" t="s">
        <v>44</v>
      </c>
      <c r="G6" s="1" t="s">
        <v>45</v>
      </c>
      <c r="H6" s="1" t="s">
        <v>46</v>
      </c>
      <c r="I6" s="3">
        <v>5</v>
      </c>
      <c r="J6" s="3">
        <v>149.99</v>
      </c>
      <c r="K6" s="1" t="s">
        <v>26</v>
      </c>
      <c r="L6" s="1" t="s">
        <v>40</v>
      </c>
      <c r="M6" s="1" t="s">
        <v>27</v>
      </c>
      <c r="N6" s="2">
        <v>45295</v>
      </c>
      <c r="O6" s="5">
        <v>749.95</v>
      </c>
    </row>
    <row r="7" spans="2:15" ht="15" thickBot="1" x14ac:dyDescent="0.4">
      <c r="B7" s="4" t="s">
        <v>47</v>
      </c>
      <c r="C7" s="2">
        <v>45403</v>
      </c>
      <c r="D7" s="1" t="s">
        <v>48</v>
      </c>
      <c r="E7" s="1" t="s">
        <v>49</v>
      </c>
      <c r="F7" s="1" t="s">
        <v>31</v>
      </c>
      <c r="G7" s="1" t="s">
        <v>32</v>
      </c>
      <c r="H7" s="1" t="s">
        <v>33</v>
      </c>
      <c r="I7" s="3">
        <v>2</v>
      </c>
      <c r="J7" s="3">
        <v>59.99</v>
      </c>
      <c r="K7" s="1" t="s">
        <v>20</v>
      </c>
      <c r="L7" s="1" t="s">
        <v>50</v>
      </c>
      <c r="M7" s="1" t="s">
        <v>36</v>
      </c>
      <c r="N7" s="2">
        <v>44746</v>
      </c>
      <c r="O7" s="5">
        <v>119.98</v>
      </c>
    </row>
    <row r="8" spans="2:15" ht="15" thickBot="1" x14ac:dyDescent="0.4">
      <c r="B8" s="4" t="s">
        <v>51</v>
      </c>
      <c r="C8" s="2">
        <v>45403</v>
      </c>
      <c r="D8" s="1" t="s">
        <v>48</v>
      </c>
      <c r="E8" s="1" t="s">
        <v>49</v>
      </c>
      <c r="F8" s="1" t="s">
        <v>52</v>
      </c>
      <c r="G8" s="1" t="s">
        <v>53</v>
      </c>
      <c r="H8" s="1" t="s">
        <v>19</v>
      </c>
      <c r="I8" s="3">
        <v>5</v>
      </c>
      <c r="J8" s="3">
        <v>149.99</v>
      </c>
      <c r="K8" s="1" t="s">
        <v>26</v>
      </c>
      <c r="L8" s="1" t="s">
        <v>21</v>
      </c>
      <c r="M8" s="1" t="s">
        <v>36</v>
      </c>
      <c r="N8" s="2">
        <v>44418</v>
      </c>
      <c r="O8" s="5">
        <v>749.95</v>
      </c>
    </row>
    <row r="9" spans="2:15" ht="15" thickBot="1" x14ac:dyDescent="0.4">
      <c r="B9" s="4" t="s">
        <v>54</v>
      </c>
      <c r="C9" s="2">
        <v>45403</v>
      </c>
      <c r="D9" s="1" t="s">
        <v>55</v>
      </c>
      <c r="E9" s="1" t="s">
        <v>56</v>
      </c>
      <c r="F9" s="1" t="s">
        <v>31</v>
      </c>
      <c r="G9" s="1" t="s">
        <v>32</v>
      </c>
      <c r="H9" s="1" t="s">
        <v>33</v>
      </c>
      <c r="I9" s="3">
        <v>3</v>
      </c>
      <c r="J9" s="3">
        <v>59.99</v>
      </c>
      <c r="K9" s="1" t="s">
        <v>57</v>
      </c>
      <c r="L9" s="1" t="s">
        <v>35</v>
      </c>
      <c r="M9" s="1" t="s">
        <v>22</v>
      </c>
      <c r="N9" s="2">
        <v>45007</v>
      </c>
      <c r="O9" s="5">
        <v>179.97</v>
      </c>
    </row>
    <row r="10" spans="2:15" ht="15" thickBot="1" x14ac:dyDescent="0.4">
      <c r="B10" s="4" t="s">
        <v>58</v>
      </c>
      <c r="C10" s="2">
        <v>45405</v>
      </c>
      <c r="D10" s="1" t="s">
        <v>59</v>
      </c>
      <c r="E10" s="1" t="s">
        <v>60</v>
      </c>
      <c r="F10" s="1" t="s">
        <v>61</v>
      </c>
      <c r="G10" s="1" t="s">
        <v>62</v>
      </c>
      <c r="H10" s="1" t="s">
        <v>19</v>
      </c>
      <c r="I10" s="3">
        <v>3</v>
      </c>
      <c r="J10" s="3">
        <v>899.99</v>
      </c>
      <c r="K10" s="1" t="s">
        <v>34</v>
      </c>
      <c r="L10" s="1" t="s">
        <v>63</v>
      </c>
      <c r="M10" s="1" t="s">
        <v>36</v>
      </c>
      <c r="N10" s="2">
        <v>45299</v>
      </c>
      <c r="O10" s="5">
        <v>2699.97</v>
      </c>
    </row>
    <row r="11" spans="2:15" ht="15" thickBot="1" x14ac:dyDescent="0.4">
      <c r="B11" s="4" t="s">
        <v>64</v>
      </c>
      <c r="C11" s="2">
        <v>45408</v>
      </c>
      <c r="D11" s="1" t="s">
        <v>65</v>
      </c>
      <c r="E11" s="1" t="s">
        <v>66</v>
      </c>
      <c r="F11" s="1" t="s">
        <v>31</v>
      </c>
      <c r="G11" s="1" t="s">
        <v>32</v>
      </c>
      <c r="H11" s="1" t="s">
        <v>33</v>
      </c>
      <c r="I11" s="3">
        <v>3</v>
      </c>
      <c r="J11" s="3">
        <v>59.99</v>
      </c>
      <c r="K11" s="1" t="s">
        <v>20</v>
      </c>
      <c r="L11" s="1" t="s">
        <v>50</v>
      </c>
      <c r="M11" s="1" t="s">
        <v>27</v>
      </c>
      <c r="N11" s="2">
        <v>45207</v>
      </c>
      <c r="O11" s="5">
        <v>179.97</v>
      </c>
    </row>
    <row r="12" spans="2:15" ht="15" thickBot="1" x14ac:dyDescent="0.4">
      <c r="B12" s="4" t="s">
        <v>67</v>
      </c>
      <c r="C12" s="2">
        <v>45408</v>
      </c>
      <c r="D12" s="1" t="s">
        <v>68</v>
      </c>
      <c r="E12" s="1" t="s">
        <v>69</v>
      </c>
      <c r="F12" s="1" t="s">
        <v>44</v>
      </c>
      <c r="G12" s="1" t="s">
        <v>45</v>
      </c>
      <c r="H12" s="1" t="s">
        <v>46</v>
      </c>
      <c r="I12" s="3">
        <v>1</v>
      </c>
      <c r="J12" s="3">
        <v>149.99</v>
      </c>
      <c r="K12" s="1" t="s">
        <v>26</v>
      </c>
      <c r="L12" s="1" t="s">
        <v>50</v>
      </c>
      <c r="M12" s="1" t="s">
        <v>36</v>
      </c>
      <c r="N12" s="2">
        <v>45103</v>
      </c>
      <c r="O12" s="5">
        <v>149.99</v>
      </c>
    </row>
    <row r="13" spans="2:15" ht="16.5" customHeight="1" thickBot="1" x14ac:dyDescent="0.4">
      <c r="B13" s="4" t="s">
        <v>70</v>
      </c>
      <c r="C13" s="2">
        <v>45408</v>
      </c>
      <c r="D13" s="1" t="s">
        <v>38</v>
      </c>
      <c r="E13" s="1" t="s">
        <v>39</v>
      </c>
      <c r="F13" s="1" t="s">
        <v>44</v>
      </c>
      <c r="G13" s="1" t="s">
        <v>45</v>
      </c>
      <c r="H13" s="1" t="s">
        <v>46</v>
      </c>
      <c r="I13" s="3">
        <v>5</v>
      </c>
      <c r="J13" s="3">
        <v>149.99</v>
      </c>
      <c r="K13" s="1" t="s">
        <v>57</v>
      </c>
      <c r="L13" s="1" t="s">
        <v>40</v>
      </c>
      <c r="M13" s="1" t="s">
        <v>22</v>
      </c>
      <c r="N13" s="2">
        <v>44830</v>
      </c>
      <c r="O13" s="5">
        <v>749.95</v>
      </c>
    </row>
    <row r="14" spans="2:15" ht="15" thickBot="1" x14ac:dyDescent="0.4">
      <c r="B14" s="4" t="s">
        <v>71</v>
      </c>
      <c r="C14" s="2">
        <v>45408</v>
      </c>
      <c r="D14" s="1" t="s">
        <v>72</v>
      </c>
      <c r="E14" s="1" t="s">
        <v>73</v>
      </c>
      <c r="F14" s="1" t="s">
        <v>44</v>
      </c>
      <c r="G14" s="1" t="s">
        <v>45</v>
      </c>
      <c r="H14" s="1" t="s">
        <v>46</v>
      </c>
      <c r="I14" s="3">
        <v>3</v>
      </c>
      <c r="J14" s="3">
        <v>149.99</v>
      </c>
      <c r="K14" s="1" t="s">
        <v>20</v>
      </c>
      <c r="L14" s="1" t="s">
        <v>40</v>
      </c>
      <c r="M14" s="1" t="s">
        <v>27</v>
      </c>
      <c r="N14" s="2">
        <v>44806</v>
      </c>
      <c r="O14" s="5">
        <v>449.97</v>
      </c>
    </row>
    <row r="15" spans="2:15" ht="15" thickBot="1" x14ac:dyDescent="0.4">
      <c r="B15" s="4" t="s">
        <v>74</v>
      </c>
      <c r="C15" s="2">
        <v>45409</v>
      </c>
      <c r="D15" s="1" t="s">
        <v>75</v>
      </c>
      <c r="E15" s="1" t="s">
        <v>76</v>
      </c>
      <c r="F15" s="1" t="s">
        <v>31</v>
      </c>
      <c r="G15" s="1" t="s">
        <v>32</v>
      </c>
      <c r="H15" s="1" t="s">
        <v>33</v>
      </c>
      <c r="I15" s="3">
        <v>3</v>
      </c>
      <c r="J15" s="3">
        <v>59.99</v>
      </c>
      <c r="K15" s="1" t="s">
        <v>26</v>
      </c>
      <c r="L15" s="1" t="s">
        <v>40</v>
      </c>
      <c r="M15" s="1" t="s">
        <v>36</v>
      </c>
      <c r="N15" s="2">
        <v>45351</v>
      </c>
      <c r="O15" s="5">
        <v>179.97</v>
      </c>
    </row>
    <row r="16" spans="2:15" ht="15" thickBot="1" x14ac:dyDescent="0.4">
      <c r="B16" s="4" t="s">
        <v>77</v>
      </c>
      <c r="C16" s="2">
        <v>45409</v>
      </c>
      <c r="D16" s="1" t="s">
        <v>78</v>
      </c>
      <c r="E16" s="1" t="s">
        <v>79</v>
      </c>
      <c r="F16" s="1" t="s">
        <v>80</v>
      </c>
      <c r="G16" s="1" t="s">
        <v>81</v>
      </c>
      <c r="H16" s="1" t="s">
        <v>19</v>
      </c>
      <c r="I16" s="3">
        <v>3</v>
      </c>
      <c r="J16" s="3">
        <v>699.99</v>
      </c>
      <c r="K16" s="1" t="s">
        <v>26</v>
      </c>
      <c r="L16" s="1" t="s">
        <v>50</v>
      </c>
      <c r="M16" s="1" t="s">
        <v>22</v>
      </c>
      <c r="N16" s="2">
        <v>44577</v>
      </c>
      <c r="O16" s="5">
        <v>2099.9699999999998</v>
      </c>
    </row>
    <row r="17" spans="2:15" ht="15" thickBot="1" x14ac:dyDescent="0.4">
      <c r="B17" s="4" t="s">
        <v>82</v>
      </c>
      <c r="C17" s="2">
        <v>45409</v>
      </c>
      <c r="D17" s="1" t="s">
        <v>83</v>
      </c>
      <c r="E17" s="1" t="s">
        <v>84</v>
      </c>
      <c r="F17" s="1" t="s">
        <v>61</v>
      </c>
      <c r="G17" s="1" t="s">
        <v>62</v>
      </c>
      <c r="H17" s="1" t="s">
        <v>19</v>
      </c>
      <c r="I17" s="3">
        <v>1</v>
      </c>
      <c r="J17" s="3">
        <v>899.99</v>
      </c>
      <c r="K17" s="1" t="s">
        <v>57</v>
      </c>
      <c r="L17" s="1" t="s">
        <v>40</v>
      </c>
      <c r="M17" s="1" t="s">
        <v>36</v>
      </c>
      <c r="N17" s="2">
        <v>44920</v>
      </c>
      <c r="O17" s="5">
        <v>899.99</v>
      </c>
    </row>
    <row r="18" spans="2:15" ht="15" thickBot="1" x14ac:dyDescent="0.4">
      <c r="B18" s="4" t="s">
        <v>85</v>
      </c>
      <c r="C18" s="2">
        <v>45410</v>
      </c>
      <c r="D18" s="1" t="s">
        <v>86</v>
      </c>
      <c r="E18" s="1" t="s">
        <v>87</v>
      </c>
      <c r="F18" s="1" t="s">
        <v>44</v>
      </c>
      <c r="G18" s="1" t="s">
        <v>45</v>
      </c>
      <c r="H18" s="1" t="s">
        <v>46</v>
      </c>
      <c r="I18" s="3">
        <v>4</v>
      </c>
      <c r="J18" s="3">
        <v>149.99</v>
      </c>
      <c r="K18" s="1" t="s">
        <v>57</v>
      </c>
      <c r="L18" s="1" t="s">
        <v>40</v>
      </c>
      <c r="M18" s="1" t="s">
        <v>27</v>
      </c>
      <c r="N18" s="2">
        <v>45374</v>
      </c>
      <c r="O18" s="5">
        <v>599.96</v>
      </c>
    </row>
    <row r="19" spans="2:15" ht="15" thickBot="1" x14ac:dyDescent="0.4">
      <c r="B19" s="4" t="s">
        <v>88</v>
      </c>
      <c r="C19" s="2">
        <v>45410</v>
      </c>
      <c r="D19" s="1" t="s">
        <v>89</v>
      </c>
      <c r="E19" s="1" t="s">
        <v>90</v>
      </c>
      <c r="F19" s="1" t="s">
        <v>80</v>
      </c>
      <c r="G19" s="1" t="s">
        <v>81</v>
      </c>
      <c r="H19" s="1" t="s">
        <v>19</v>
      </c>
      <c r="I19" s="3">
        <v>2</v>
      </c>
      <c r="J19" s="3">
        <v>699.99</v>
      </c>
      <c r="K19" s="1" t="s">
        <v>20</v>
      </c>
      <c r="L19" s="1" t="s">
        <v>40</v>
      </c>
      <c r="M19" s="1" t="s">
        <v>22</v>
      </c>
      <c r="N19" s="2">
        <v>44781</v>
      </c>
      <c r="O19" s="5">
        <v>1399.98</v>
      </c>
    </row>
    <row r="20" spans="2:15" ht="15" thickBot="1" x14ac:dyDescent="0.4">
      <c r="B20" s="4" t="s">
        <v>91</v>
      </c>
      <c r="C20" s="2">
        <v>45410</v>
      </c>
      <c r="D20" s="1" t="s">
        <v>86</v>
      </c>
      <c r="E20" s="1" t="s">
        <v>87</v>
      </c>
      <c r="F20" s="1" t="s">
        <v>61</v>
      </c>
      <c r="G20" s="1" t="s">
        <v>62</v>
      </c>
      <c r="H20" s="1" t="s">
        <v>19</v>
      </c>
      <c r="I20" s="3">
        <v>4</v>
      </c>
      <c r="J20" s="3">
        <v>899.99</v>
      </c>
      <c r="K20" s="1" t="s">
        <v>26</v>
      </c>
      <c r="L20" s="1" t="s">
        <v>50</v>
      </c>
      <c r="M20" s="1" t="s">
        <v>36</v>
      </c>
      <c r="N20" s="2">
        <v>45327</v>
      </c>
      <c r="O20" s="5">
        <v>3599.96</v>
      </c>
    </row>
    <row r="21" spans="2:15" ht="15" thickBot="1" x14ac:dyDescent="0.4">
      <c r="B21" s="4" t="s">
        <v>92</v>
      </c>
      <c r="C21" s="2">
        <v>45410</v>
      </c>
      <c r="D21" s="1" t="s">
        <v>93</v>
      </c>
      <c r="E21" s="1" t="s">
        <v>94</v>
      </c>
      <c r="F21" s="1" t="s">
        <v>17</v>
      </c>
      <c r="G21" s="1" t="s">
        <v>18</v>
      </c>
      <c r="H21" s="1" t="s">
        <v>19</v>
      </c>
      <c r="I21" s="3">
        <v>3</v>
      </c>
      <c r="J21" s="3">
        <v>249.99</v>
      </c>
      <c r="K21" s="1" t="s">
        <v>26</v>
      </c>
      <c r="L21" s="1" t="s">
        <v>40</v>
      </c>
      <c r="M21" s="1" t="s">
        <v>27</v>
      </c>
      <c r="N21" s="2">
        <v>45224</v>
      </c>
      <c r="O21" s="5">
        <v>749.97</v>
      </c>
    </row>
    <row r="22" spans="2:15" ht="15" thickBot="1" x14ac:dyDescent="0.4">
      <c r="B22" s="4" t="s">
        <v>95</v>
      </c>
      <c r="C22" s="2">
        <v>45412</v>
      </c>
      <c r="D22" s="1" t="s">
        <v>96</v>
      </c>
      <c r="E22" s="1" t="s">
        <v>97</v>
      </c>
      <c r="F22" s="1" t="s">
        <v>80</v>
      </c>
      <c r="G22" s="1" t="s">
        <v>81</v>
      </c>
      <c r="H22" s="1" t="s">
        <v>19</v>
      </c>
      <c r="I22" s="3">
        <v>5</v>
      </c>
      <c r="J22" s="3">
        <v>699.99</v>
      </c>
      <c r="K22" s="1" t="s">
        <v>20</v>
      </c>
      <c r="L22" s="1" t="s">
        <v>50</v>
      </c>
      <c r="M22" s="1" t="s">
        <v>22</v>
      </c>
      <c r="N22" s="2">
        <v>45167</v>
      </c>
      <c r="O22" s="5">
        <v>3499.95</v>
      </c>
    </row>
    <row r="23" spans="2:15" ht="15" thickBot="1" x14ac:dyDescent="0.4">
      <c r="B23" s="4" t="s">
        <v>98</v>
      </c>
      <c r="C23" s="2">
        <v>45413</v>
      </c>
      <c r="D23" s="1" t="s">
        <v>99</v>
      </c>
      <c r="E23" s="1" t="s">
        <v>100</v>
      </c>
      <c r="F23" s="1" t="s">
        <v>80</v>
      </c>
      <c r="G23" s="1" t="s">
        <v>81</v>
      </c>
      <c r="H23" s="1" t="s">
        <v>19</v>
      </c>
      <c r="I23" s="3">
        <v>4</v>
      </c>
      <c r="J23" s="3">
        <v>699.99</v>
      </c>
      <c r="K23" s="1" t="s">
        <v>20</v>
      </c>
      <c r="L23" s="1" t="s">
        <v>63</v>
      </c>
      <c r="M23" s="1" t="s">
        <v>36</v>
      </c>
      <c r="N23" s="2">
        <v>44409</v>
      </c>
      <c r="O23" s="5">
        <v>2799.96</v>
      </c>
    </row>
    <row r="24" spans="2:15" ht="15" thickBot="1" x14ac:dyDescent="0.4">
      <c r="B24" s="4" t="s">
        <v>101</v>
      </c>
      <c r="C24" s="2">
        <v>45415</v>
      </c>
      <c r="D24" s="1" t="s">
        <v>102</v>
      </c>
      <c r="E24" s="1" t="s">
        <v>103</v>
      </c>
      <c r="F24" s="1" t="s">
        <v>17</v>
      </c>
      <c r="G24" s="1" t="s">
        <v>18</v>
      </c>
      <c r="H24" s="1" t="s">
        <v>19</v>
      </c>
      <c r="I24" s="3">
        <v>4</v>
      </c>
      <c r="J24" s="3">
        <v>249.99</v>
      </c>
      <c r="K24" s="1" t="s">
        <v>34</v>
      </c>
      <c r="L24" s="1" t="s">
        <v>40</v>
      </c>
      <c r="M24" s="1" t="s">
        <v>36</v>
      </c>
      <c r="N24" s="2">
        <v>44468</v>
      </c>
      <c r="O24" s="5">
        <v>999.96</v>
      </c>
    </row>
    <row r="25" spans="2:15" ht="15" thickBot="1" x14ac:dyDescent="0.4">
      <c r="B25" s="4" t="s">
        <v>104</v>
      </c>
      <c r="C25" s="2">
        <v>45416</v>
      </c>
      <c r="D25" s="1" t="s">
        <v>86</v>
      </c>
      <c r="E25" s="1" t="s">
        <v>87</v>
      </c>
      <c r="F25" s="1" t="s">
        <v>105</v>
      </c>
      <c r="G25" s="1" t="s">
        <v>106</v>
      </c>
      <c r="H25" s="1" t="s">
        <v>46</v>
      </c>
      <c r="I25" s="3">
        <v>4</v>
      </c>
      <c r="J25" s="3">
        <v>299.99</v>
      </c>
      <c r="K25" s="1" t="s">
        <v>20</v>
      </c>
      <c r="L25" s="1" t="s">
        <v>50</v>
      </c>
      <c r="M25" s="1" t="s">
        <v>27</v>
      </c>
      <c r="N25" s="2">
        <v>44716</v>
      </c>
      <c r="O25" s="5">
        <v>1199.96</v>
      </c>
    </row>
    <row r="26" spans="2:15" ht="15" thickBot="1" x14ac:dyDescent="0.4">
      <c r="B26" s="4" t="s">
        <v>107</v>
      </c>
      <c r="C26" s="2">
        <v>45422</v>
      </c>
      <c r="D26" s="1" t="s">
        <v>108</v>
      </c>
      <c r="E26" s="1" t="s">
        <v>109</v>
      </c>
      <c r="F26" s="1" t="s">
        <v>17</v>
      </c>
      <c r="G26" s="1" t="s">
        <v>18</v>
      </c>
      <c r="H26" s="1" t="s">
        <v>19</v>
      </c>
      <c r="I26" s="3">
        <v>5</v>
      </c>
      <c r="J26" s="3">
        <v>249.99</v>
      </c>
      <c r="K26" s="1" t="s">
        <v>26</v>
      </c>
      <c r="L26" s="1" t="s">
        <v>50</v>
      </c>
      <c r="M26" s="1" t="s">
        <v>36</v>
      </c>
      <c r="N26" s="2">
        <v>44525</v>
      </c>
      <c r="O26" s="5">
        <v>1249.95</v>
      </c>
    </row>
    <row r="27" spans="2:15" ht="15" thickBot="1" x14ac:dyDescent="0.4">
      <c r="B27" s="4" t="s">
        <v>110</v>
      </c>
      <c r="C27" s="2">
        <v>45424</v>
      </c>
      <c r="D27" s="1" t="s">
        <v>68</v>
      </c>
      <c r="E27" s="1" t="s">
        <v>69</v>
      </c>
      <c r="F27" s="1" t="s">
        <v>105</v>
      </c>
      <c r="G27" s="1" t="s">
        <v>106</v>
      </c>
      <c r="H27" s="1" t="s">
        <v>46</v>
      </c>
      <c r="I27" s="3">
        <v>5</v>
      </c>
      <c r="J27" s="3">
        <v>299.99</v>
      </c>
      <c r="K27" s="1" t="s">
        <v>34</v>
      </c>
      <c r="L27" s="1" t="s">
        <v>63</v>
      </c>
      <c r="M27" s="1" t="s">
        <v>22</v>
      </c>
      <c r="N27" s="2">
        <v>45168</v>
      </c>
      <c r="O27" s="5">
        <v>1499.95</v>
      </c>
    </row>
    <row r="28" spans="2:15" ht="15" thickBot="1" x14ac:dyDescent="0.4">
      <c r="B28" s="4" t="s">
        <v>111</v>
      </c>
      <c r="C28" s="2">
        <v>45424</v>
      </c>
      <c r="D28" s="1" t="s">
        <v>112</v>
      </c>
      <c r="E28" s="1" t="s">
        <v>113</v>
      </c>
      <c r="F28" s="1" t="s">
        <v>114</v>
      </c>
      <c r="G28" s="1" t="s">
        <v>115</v>
      </c>
      <c r="H28" s="1" t="s">
        <v>33</v>
      </c>
      <c r="I28" s="3">
        <v>3</v>
      </c>
      <c r="J28" s="3">
        <v>79.989999999999995</v>
      </c>
      <c r="K28" s="1" t="s">
        <v>34</v>
      </c>
      <c r="L28" s="1" t="s">
        <v>63</v>
      </c>
      <c r="M28" s="1" t="s">
        <v>27</v>
      </c>
      <c r="N28" s="2">
        <v>45012</v>
      </c>
      <c r="O28" s="5">
        <v>239.97</v>
      </c>
    </row>
    <row r="29" spans="2:15" ht="15" thickBot="1" x14ac:dyDescent="0.4">
      <c r="B29" s="4" t="s">
        <v>116</v>
      </c>
      <c r="C29" s="2">
        <v>45424</v>
      </c>
      <c r="D29" s="1" t="s">
        <v>99</v>
      </c>
      <c r="E29" s="1" t="s">
        <v>100</v>
      </c>
      <c r="F29" s="1" t="s">
        <v>117</v>
      </c>
      <c r="G29" s="1" t="s">
        <v>118</v>
      </c>
      <c r="H29" s="1" t="s">
        <v>19</v>
      </c>
      <c r="I29" s="3">
        <v>5</v>
      </c>
      <c r="J29" s="3">
        <v>89.99</v>
      </c>
      <c r="K29" s="1" t="s">
        <v>20</v>
      </c>
      <c r="L29" s="1" t="s">
        <v>40</v>
      </c>
      <c r="M29" s="1" t="s">
        <v>27</v>
      </c>
      <c r="N29" s="2">
        <v>44919</v>
      </c>
      <c r="O29" s="5">
        <v>449.95</v>
      </c>
    </row>
    <row r="30" spans="2:15" ht="15" thickBot="1" x14ac:dyDescent="0.4">
      <c r="B30" s="4" t="s">
        <v>119</v>
      </c>
      <c r="C30" s="2">
        <v>45425</v>
      </c>
      <c r="D30" s="1" t="s">
        <v>120</v>
      </c>
      <c r="E30" s="1" t="s">
        <v>121</v>
      </c>
      <c r="F30" s="1" t="s">
        <v>31</v>
      </c>
      <c r="G30" s="1" t="s">
        <v>32</v>
      </c>
      <c r="H30" s="1" t="s">
        <v>33</v>
      </c>
      <c r="I30" s="3">
        <v>2</v>
      </c>
      <c r="J30" s="3">
        <v>59.99</v>
      </c>
      <c r="K30" s="1" t="s">
        <v>57</v>
      </c>
      <c r="L30" s="1" t="s">
        <v>21</v>
      </c>
      <c r="M30" s="1" t="s">
        <v>36</v>
      </c>
      <c r="N30" s="2">
        <v>45214</v>
      </c>
      <c r="O30" s="5">
        <v>119.98</v>
      </c>
    </row>
    <row r="31" spans="2:15" ht="15" thickBot="1" x14ac:dyDescent="0.4">
      <c r="B31" s="4" t="s">
        <v>122</v>
      </c>
      <c r="C31" s="2">
        <v>45427</v>
      </c>
      <c r="D31" s="1" t="s">
        <v>123</v>
      </c>
      <c r="E31" s="1" t="s">
        <v>124</v>
      </c>
      <c r="F31" s="1" t="s">
        <v>31</v>
      </c>
      <c r="G31" s="1" t="s">
        <v>32</v>
      </c>
      <c r="H31" s="1" t="s">
        <v>33</v>
      </c>
      <c r="I31" s="3">
        <v>4</v>
      </c>
      <c r="J31" s="3">
        <v>59.99</v>
      </c>
      <c r="K31" s="1" t="s">
        <v>57</v>
      </c>
      <c r="L31" s="1" t="s">
        <v>63</v>
      </c>
      <c r="M31" s="1" t="s">
        <v>36</v>
      </c>
      <c r="N31" s="2">
        <v>44867</v>
      </c>
      <c r="O31" s="5">
        <v>239.96</v>
      </c>
    </row>
    <row r="32" spans="2:15" ht="15" thickBot="1" x14ac:dyDescent="0.4">
      <c r="B32" s="4" t="s">
        <v>125</v>
      </c>
      <c r="C32" s="2">
        <v>45427</v>
      </c>
      <c r="D32" s="1" t="s">
        <v>55</v>
      </c>
      <c r="E32" s="1" t="s">
        <v>56</v>
      </c>
      <c r="F32" s="1" t="s">
        <v>126</v>
      </c>
      <c r="G32" s="1" t="s">
        <v>127</v>
      </c>
      <c r="H32" s="1" t="s">
        <v>46</v>
      </c>
      <c r="I32" s="3">
        <v>5</v>
      </c>
      <c r="J32" s="3">
        <v>199.99</v>
      </c>
      <c r="K32" s="1" t="s">
        <v>20</v>
      </c>
      <c r="L32" s="1" t="s">
        <v>35</v>
      </c>
      <c r="M32" s="1" t="s">
        <v>36</v>
      </c>
      <c r="N32" s="2">
        <v>44412</v>
      </c>
      <c r="O32" s="5">
        <v>999.95</v>
      </c>
    </row>
    <row r="33" spans="2:15" ht="15" thickBot="1" x14ac:dyDescent="0.4">
      <c r="B33" s="4" t="s">
        <v>128</v>
      </c>
      <c r="C33" s="2">
        <v>45428</v>
      </c>
      <c r="D33" s="1" t="s">
        <v>129</v>
      </c>
      <c r="E33" s="1" t="s">
        <v>130</v>
      </c>
      <c r="F33" s="1" t="s">
        <v>44</v>
      </c>
      <c r="G33" s="1" t="s">
        <v>45</v>
      </c>
      <c r="H33" s="1" t="s">
        <v>46</v>
      </c>
      <c r="I33" s="3">
        <v>2</v>
      </c>
      <c r="J33" s="3">
        <v>149.99</v>
      </c>
      <c r="K33" s="1" t="s">
        <v>26</v>
      </c>
      <c r="L33" s="1" t="s">
        <v>50</v>
      </c>
      <c r="M33" s="1" t="s">
        <v>22</v>
      </c>
      <c r="N33" s="2">
        <v>44823</v>
      </c>
      <c r="O33" s="5">
        <v>299.98</v>
      </c>
    </row>
    <row r="34" spans="2:15" ht="15" thickBot="1" x14ac:dyDescent="0.4">
      <c r="B34" s="4" t="s">
        <v>131</v>
      </c>
      <c r="C34" s="2">
        <v>45430</v>
      </c>
      <c r="D34" s="1" t="s">
        <v>132</v>
      </c>
      <c r="E34" s="1" t="s">
        <v>133</v>
      </c>
      <c r="F34" s="1" t="s">
        <v>44</v>
      </c>
      <c r="G34" s="1" t="s">
        <v>45</v>
      </c>
      <c r="H34" s="1" t="s">
        <v>46</v>
      </c>
      <c r="I34" s="3">
        <v>3</v>
      </c>
      <c r="J34" s="3">
        <v>149.99</v>
      </c>
      <c r="K34" s="1" t="s">
        <v>26</v>
      </c>
      <c r="L34" s="1" t="s">
        <v>50</v>
      </c>
      <c r="M34" s="1" t="s">
        <v>27</v>
      </c>
      <c r="N34" s="2">
        <v>45068</v>
      </c>
      <c r="O34" s="5">
        <v>449.97</v>
      </c>
    </row>
    <row r="35" spans="2:15" ht="15" thickBot="1" x14ac:dyDescent="0.4">
      <c r="B35" s="4" t="s">
        <v>134</v>
      </c>
      <c r="C35" s="2">
        <v>45432</v>
      </c>
      <c r="D35" s="1" t="s">
        <v>29</v>
      </c>
      <c r="E35" s="1" t="s">
        <v>30</v>
      </c>
      <c r="F35" s="1" t="s">
        <v>61</v>
      </c>
      <c r="G35" s="1" t="s">
        <v>62</v>
      </c>
      <c r="H35" s="1" t="s">
        <v>19</v>
      </c>
      <c r="I35" s="3">
        <v>1</v>
      </c>
      <c r="J35" s="3">
        <v>899.99</v>
      </c>
      <c r="K35" s="1" t="s">
        <v>26</v>
      </c>
      <c r="L35" s="1" t="s">
        <v>50</v>
      </c>
      <c r="M35" s="1" t="s">
        <v>27</v>
      </c>
      <c r="N35" s="2">
        <v>44578</v>
      </c>
      <c r="O35" s="5">
        <v>899.99</v>
      </c>
    </row>
    <row r="36" spans="2:15" ht="15" thickBot="1" x14ac:dyDescent="0.4">
      <c r="B36" s="4" t="s">
        <v>135</v>
      </c>
      <c r="C36" s="2">
        <v>45434</v>
      </c>
      <c r="D36" s="1" t="s">
        <v>99</v>
      </c>
      <c r="E36" s="1" t="s">
        <v>100</v>
      </c>
      <c r="F36" s="1" t="s">
        <v>105</v>
      </c>
      <c r="G36" s="1" t="s">
        <v>106</v>
      </c>
      <c r="H36" s="1" t="s">
        <v>46</v>
      </c>
      <c r="I36" s="3">
        <v>3</v>
      </c>
      <c r="J36" s="3">
        <v>299.99</v>
      </c>
      <c r="K36" s="1" t="s">
        <v>26</v>
      </c>
      <c r="L36" s="1" t="s">
        <v>63</v>
      </c>
      <c r="M36" s="1" t="s">
        <v>22</v>
      </c>
      <c r="N36" s="2">
        <v>44824</v>
      </c>
      <c r="O36" s="5">
        <v>899.97</v>
      </c>
    </row>
    <row r="37" spans="2:15" ht="15" thickBot="1" x14ac:dyDescent="0.4">
      <c r="B37" s="4" t="s">
        <v>136</v>
      </c>
      <c r="C37" s="2">
        <v>45435</v>
      </c>
      <c r="D37" s="1" t="s">
        <v>129</v>
      </c>
      <c r="E37" s="1" t="s">
        <v>130</v>
      </c>
      <c r="F37" s="1" t="s">
        <v>114</v>
      </c>
      <c r="G37" s="1" t="s">
        <v>115</v>
      </c>
      <c r="H37" s="1" t="s">
        <v>33</v>
      </c>
      <c r="I37" s="3">
        <v>3</v>
      </c>
      <c r="J37" s="3">
        <v>79.989999999999995</v>
      </c>
      <c r="K37" s="1" t="s">
        <v>20</v>
      </c>
      <c r="L37" s="1" t="s">
        <v>35</v>
      </c>
      <c r="M37" s="1" t="s">
        <v>22</v>
      </c>
      <c r="N37" s="2">
        <v>45046</v>
      </c>
      <c r="O37" s="5">
        <v>239.97</v>
      </c>
    </row>
    <row r="38" spans="2:15" ht="15" thickBot="1" x14ac:dyDescent="0.4">
      <c r="B38" s="4" t="s">
        <v>137</v>
      </c>
      <c r="C38" s="2">
        <v>45438</v>
      </c>
      <c r="D38" s="1" t="s">
        <v>138</v>
      </c>
      <c r="E38" s="1" t="s">
        <v>139</v>
      </c>
      <c r="F38" s="1" t="s">
        <v>126</v>
      </c>
      <c r="G38" s="1" t="s">
        <v>127</v>
      </c>
      <c r="H38" s="1" t="s">
        <v>46</v>
      </c>
      <c r="I38" s="3">
        <v>3</v>
      </c>
      <c r="J38" s="3">
        <v>199.99</v>
      </c>
      <c r="K38" s="1" t="s">
        <v>26</v>
      </c>
      <c r="L38" s="1" t="s">
        <v>40</v>
      </c>
      <c r="M38" s="1" t="s">
        <v>27</v>
      </c>
      <c r="N38" s="2">
        <v>45292</v>
      </c>
      <c r="O38" s="5">
        <v>599.97</v>
      </c>
    </row>
    <row r="39" spans="2:15" ht="15" thickBot="1" x14ac:dyDescent="0.4">
      <c r="B39" s="4" t="s">
        <v>140</v>
      </c>
      <c r="C39" s="2">
        <v>45440</v>
      </c>
      <c r="D39" s="1" t="s">
        <v>141</v>
      </c>
      <c r="E39" s="1" t="s">
        <v>142</v>
      </c>
      <c r="F39" s="1" t="s">
        <v>80</v>
      </c>
      <c r="G39" s="1" t="s">
        <v>81</v>
      </c>
      <c r="H39" s="1" t="s">
        <v>19</v>
      </c>
      <c r="I39" s="3">
        <v>5</v>
      </c>
      <c r="J39" s="3">
        <v>699.99</v>
      </c>
      <c r="K39" s="1" t="s">
        <v>34</v>
      </c>
      <c r="L39" s="1" t="s">
        <v>50</v>
      </c>
      <c r="M39" s="1" t="s">
        <v>36</v>
      </c>
      <c r="N39" s="2">
        <v>44407</v>
      </c>
      <c r="O39" s="5">
        <v>3499.95</v>
      </c>
    </row>
    <row r="40" spans="2:15" ht="15" thickBot="1" x14ac:dyDescent="0.4">
      <c r="B40" s="4" t="s">
        <v>143</v>
      </c>
      <c r="C40" s="2">
        <v>45441</v>
      </c>
      <c r="D40" s="1" t="s">
        <v>144</v>
      </c>
      <c r="E40" s="1" t="s">
        <v>145</v>
      </c>
      <c r="F40" s="1" t="s">
        <v>117</v>
      </c>
      <c r="G40" s="1" t="s">
        <v>118</v>
      </c>
      <c r="H40" s="1" t="s">
        <v>19</v>
      </c>
      <c r="I40" s="3">
        <v>3</v>
      </c>
      <c r="J40" s="3">
        <v>89.99</v>
      </c>
      <c r="K40" s="1" t="s">
        <v>34</v>
      </c>
      <c r="L40" s="1" t="s">
        <v>21</v>
      </c>
      <c r="M40" s="1" t="s">
        <v>27</v>
      </c>
      <c r="N40" s="2">
        <v>45120</v>
      </c>
      <c r="O40" s="5">
        <v>269.97000000000003</v>
      </c>
    </row>
    <row r="41" spans="2:15" ht="15" thickBot="1" x14ac:dyDescent="0.4">
      <c r="B41" s="4" t="s">
        <v>146</v>
      </c>
      <c r="C41" s="2">
        <v>45443</v>
      </c>
      <c r="D41" s="1" t="s">
        <v>147</v>
      </c>
      <c r="E41" s="1" t="s">
        <v>148</v>
      </c>
      <c r="F41" s="1" t="s">
        <v>114</v>
      </c>
      <c r="G41" s="1" t="s">
        <v>115</v>
      </c>
      <c r="H41" s="1" t="s">
        <v>33</v>
      </c>
      <c r="I41" s="3">
        <v>1</v>
      </c>
      <c r="J41" s="3">
        <v>79.989999999999995</v>
      </c>
      <c r="K41" s="1" t="s">
        <v>20</v>
      </c>
      <c r="L41" s="1" t="s">
        <v>40</v>
      </c>
      <c r="M41" s="1" t="s">
        <v>36</v>
      </c>
      <c r="N41" s="2">
        <v>44917</v>
      </c>
      <c r="O41" s="5">
        <v>79.989999999999995</v>
      </c>
    </row>
    <row r="42" spans="2:15" ht="15" thickBot="1" x14ac:dyDescent="0.4">
      <c r="B42" s="4" t="s">
        <v>149</v>
      </c>
      <c r="C42" s="2">
        <v>45444</v>
      </c>
      <c r="D42" s="1" t="s">
        <v>150</v>
      </c>
      <c r="E42" s="1" t="s">
        <v>151</v>
      </c>
      <c r="F42" s="1" t="s">
        <v>31</v>
      </c>
      <c r="G42" s="1" t="s">
        <v>32</v>
      </c>
      <c r="H42" s="1" t="s">
        <v>33</v>
      </c>
      <c r="I42" s="3">
        <v>2</v>
      </c>
      <c r="J42" s="3">
        <v>59.99</v>
      </c>
      <c r="K42" s="1" t="s">
        <v>20</v>
      </c>
      <c r="L42" s="1" t="s">
        <v>50</v>
      </c>
      <c r="M42" s="1" t="s">
        <v>22</v>
      </c>
      <c r="N42" s="2">
        <v>45390</v>
      </c>
      <c r="O42" s="5">
        <v>119.98</v>
      </c>
    </row>
    <row r="43" spans="2:15" ht="15" thickBot="1" x14ac:dyDescent="0.4">
      <c r="B43" s="4" t="s">
        <v>152</v>
      </c>
      <c r="C43" s="2">
        <v>45444</v>
      </c>
      <c r="D43" s="1" t="s">
        <v>55</v>
      </c>
      <c r="E43" s="1" t="s">
        <v>56</v>
      </c>
      <c r="F43" s="1" t="s">
        <v>117</v>
      </c>
      <c r="G43" s="1" t="s">
        <v>118</v>
      </c>
      <c r="H43" s="1" t="s">
        <v>19</v>
      </c>
      <c r="I43" s="3">
        <v>1</v>
      </c>
      <c r="J43" s="3">
        <v>89.99</v>
      </c>
      <c r="K43" s="1" t="s">
        <v>20</v>
      </c>
      <c r="L43" s="1" t="s">
        <v>40</v>
      </c>
      <c r="M43" s="1" t="s">
        <v>22</v>
      </c>
      <c r="N43" s="2">
        <v>45141</v>
      </c>
      <c r="O43" s="5">
        <v>89.99</v>
      </c>
    </row>
    <row r="44" spans="2:15" ht="15" thickBot="1" x14ac:dyDescent="0.4">
      <c r="B44" s="4" t="s">
        <v>153</v>
      </c>
      <c r="C44" s="2">
        <v>45446</v>
      </c>
      <c r="D44" s="1" t="s">
        <v>154</v>
      </c>
      <c r="E44" s="1" t="s">
        <v>155</v>
      </c>
      <c r="F44" s="1" t="s">
        <v>117</v>
      </c>
      <c r="G44" s="1" t="s">
        <v>118</v>
      </c>
      <c r="H44" s="1" t="s">
        <v>19</v>
      </c>
      <c r="I44" s="3">
        <v>5</v>
      </c>
      <c r="J44" s="3">
        <v>89.99</v>
      </c>
      <c r="K44" s="1" t="s">
        <v>26</v>
      </c>
      <c r="L44" s="1" t="s">
        <v>63</v>
      </c>
      <c r="M44" s="1" t="s">
        <v>36</v>
      </c>
      <c r="N44" s="2">
        <v>44587</v>
      </c>
      <c r="O44" s="5">
        <v>449.95</v>
      </c>
    </row>
    <row r="45" spans="2:15" ht="15" thickBot="1" x14ac:dyDescent="0.4">
      <c r="B45" s="4" t="s">
        <v>156</v>
      </c>
      <c r="C45" s="2">
        <v>45449</v>
      </c>
      <c r="D45" s="1" t="s">
        <v>24</v>
      </c>
      <c r="E45" s="1" t="s">
        <v>25</v>
      </c>
      <c r="F45" s="1" t="s">
        <v>17</v>
      </c>
      <c r="G45" s="1" t="s">
        <v>18</v>
      </c>
      <c r="H45" s="1" t="s">
        <v>19</v>
      </c>
      <c r="I45" s="3">
        <v>5</v>
      </c>
      <c r="J45" s="3">
        <v>249.99</v>
      </c>
      <c r="K45" s="1" t="s">
        <v>26</v>
      </c>
      <c r="L45" s="1" t="s">
        <v>63</v>
      </c>
      <c r="M45" s="1" t="s">
        <v>36</v>
      </c>
      <c r="N45" s="2">
        <v>44707</v>
      </c>
      <c r="O45" s="5">
        <v>1249.95</v>
      </c>
    </row>
    <row r="46" spans="2:15" ht="15" thickBot="1" x14ac:dyDescent="0.4">
      <c r="B46" s="4" t="s">
        <v>157</v>
      </c>
      <c r="C46" s="2">
        <v>45449</v>
      </c>
      <c r="D46" s="1" t="s">
        <v>158</v>
      </c>
      <c r="E46" s="1" t="s">
        <v>159</v>
      </c>
      <c r="F46" s="1" t="s">
        <v>117</v>
      </c>
      <c r="G46" s="1" t="s">
        <v>118</v>
      </c>
      <c r="H46" s="1" t="s">
        <v>19</v>
      </c>
      <c r="I46" s="3">
        <v>1</v>
      </c>
      <c r="J46" s="3">
        <v>89.99</v>
      </c>
      <c r="K46" s="1" t="s">
        <v>26</v>
      </c>
      <c r="L46" s="1" t="s">
        <v>35</v>
      </c>
      <c r="M46" s="1" t="s">
        <v>36</v>
      </c>
      <c r="N46" s="2">
        <v>44582</v>
      </c>
      <c r="O46" s="5">
        <v>89.99</v>
      </c>
    </row>
    <row r="47" spans="2:15" ht="15" thickBot="1" x14ac:dyDescent="0.4">
      <c r="B47" s="4" t="s">
        <v>160</v>
      </c>
      <c r="C47" s="2">
        <v>45450</v>
      </c>
      <c r="D47" s="1" t="s">
        <v>42</v>
      </c>
      <c r="E47" s="1" t="s">
        <v>43</v>
      </c>
      <c r="F47" s="1" t="s">
        <v>44</v>
      </c>
      <c r="G47" s="1" t="s">
        <v>45</v>
      </c>
      <c r="H47" s="1" t="s">
        <v>46</v>
      </c>
      <c r="I47" s="3">
        <v>2</v>
      </c>
      <c r="J47" s="3">
        <v>149.99</v>
      </c>
      <c r="K47" s="1" t="s">
        <v>20</v>
      </c>
      <c r="L47" s="1" t="s">
        <v>63</v>
      </c>
      <c r="M47" s="1" t="s">
        <v>27</v>
      </c>
      <c r="N47" s="2">
        <v>44645</v>
      </c>
      <c r="O47" s="5">
        <v>299.98</v>
      </c>
    </row>
    <row r="48" spans="2:15" ht="15" thickBot="1" x14ac:dyDescent="0.4">
      <c r="B48" s="4" t="s">
        <v>161</v>
      </c>
      <c r="C48" s="2">
        <v>45452</v>
      </c>
      <c r="D48" s="1" t="s">
        <v>162</v>
      </c>
      <c r="E48" s="1" t="s">
        <v>163</v>
      </c>
      <c r="F48" s="1" t="s">
        <v>31</v>
      </c>
      <c r="G48" s="1" t="s">
        <v>32</v>
      </c>
      <c r="H48" s="1" t="s">
        <v>33</v>
      </c>
      <c r="I48" s="3">
        <v>4</v>
      </c>
      <c r="J48" s="3">
        <v>59.99</v>
      </c>
      <c r="K48" s="1" t="s">
        <v>20</v>
      </c>
      <c r="L48" s="1" t="s">
        <v>63</v>
      </c>
      <c r="M48" s="1" t="s">
        <v>36</v>
      </c>
      <c r="N48" s="2">
        <v>44435</v>
      </c>
      <c r="O48" s="5">
        <v>239.96</v>
      </c>
    </row>
    <row r="49" spans="2:15" ht="15" thickBot="1" x14ac:dyDescent="0.4">
      <c r="B49" s="4" t="s">
        <v>164</v>
      </c>
      <c r="C49" s="2">
        <v>45456</v>
      </c>
      <c r="D49" s="1" t="s">
        <v>129</v>
      </c>
      <c r="E49" s="1" t="s">
        <v>130</v>
      </c>
      <c r="F49" s="1" t="s">
        <v>117</v>
      </c>
      <c r="G49" s="1" t="s">
        <v>118</v>
      </c>
      <c r="H49" s="1" t="s">
        <v>19</v>
      </c>
      <c r="I49" s="3">
        <v>5</v>
      </c>
      <c r="J49" s="3">
        <v>89.99</v>
      </c>
      <c r="K49" s="1" t="s">
        <v>20</v>
      </c>
      <c r="L49" s="1" t="s">
        <v>21</v>
      </c>
      <c r="M49" s="1" t="s">
        <v>27</v>
      </c>
      <c r="N49" s="2">
        <v>44579</v>
      </c>
      <c r="O49" s="5">
        <v>449.95</v>
      </c>
    </row>
    <row r="50" spans="2:15" ht="15" thickBot="1" x14ac:dyDescent="0.4">
      <c r="B50" s="4" t="s">
        <v>165</v>
      </c>
      <c r="C50" s="2">
        <v>45459</v>
      </c>
      <c r="D50" s="1" t="s">
        <v>99</v>
      </c>
      <c r="E50" s="1" t="s">
        <v>100</v>
      </c>
      <c r="F50" s="1" t="s">
        <v>117</v>
      </c>
      <c r="G50" s="1" t="s">
        <v>118</v>
      </c>
      <c r="H50" s="1" t="s">
        <v>19</v>
      </c>
      <c r="I50" s="3">
        <v>2</v>
      </c>
      <c r="J50" s="3">
        <v>89.99</v>
      </c>
      <c r="K50" s="1" t="s">
        <v>26</v>
      </c>
      <c r="L50" s="1" t="s">
        <v>35</v>
      </c>
      <c r="M50" s="1" t="s">
        <v>27</v>
      </c>
      <c r="N50" s="2">
        <v>44471</v>
      </c>
      <c r="O50" s="5">
        <v>179.98</v>
      </c>
    </row>
    <row r="51" spans="2:15" ht="15" thickBot="1" x14ac:dyDescent="0.4">
      <c r="B51" s="4" t="s">
        <v>166</v>
      </c>
      <c r="C51" s="2">
        <v>45459</v>
      </c>
      <c r="D51" s="1" t="s">
        <v>15</v>
      </c>
      <c r="E51" s="1" t="s">
        <v>16</v>
      </c>
      <c r="F51" s="1" t="s">
        <v>61</v>
      </c>
      <c r="G51" s="1" t="s">
        <v>62</v>
      </c>
      <c r="H51" s="1" t="s">
        <v>19</v>
      </c>
      <c r="I51" s="3">
        <v>5</v>
      </c>
      <c r="J51" s="3">
        <v>899.99</v>
      </c>
      <c r="K51" s="1" t="s">
        <v>26</v>
      </c>
      <c r="L51" s="1" t="s">
        <v>35</v>
      </c>
      <c r="M51" s="1" t="s">
        <v>36</v>
      </c>
      <c r="N51" s="2">
        <v>44974</v>
      </c>
      <c r="O51" s="5">
        <v>4499.95</v>
      </c>
    </row>
    <row r="52" spans="2:15" ht="15" thickBot="1" x14ac:dyDescent="0.4">
      <c r="B52" s="4" t="s">
        <v>167</v>
      </c>
      <c r="C52" s="2">
        <v>45459</v>
      </c>
      <c r="D52" s="1" t="s">
        <v>123</v>
      </c>
      <c r="E52" s="1" t="s">
        <v>124</v>
      </c>
      <c r="F52" s="1" t="s">
        <v>61</v>
      </c>
      <c r="G52" s="1" t="s">
        <v>62</v>
      </c>
      <c r="H52" s="1" t="s">
        <v>19</v>
      </c>
      <c r="I52" s="3">
        <v>5</v>
      </c>
      <c r="J52" s="3">
        <v>899.99</v>
      </c>
      <c r="K52" s="1" t="s">
        <v>34</v>
      </c>
      <c r="L52" s="1" t="s">
        <v>63</v>
      </c>
      <c r="M52" s="1" t="s">
        <v>27</v>
      </c>
      <c r="N52" s="2">
        <v>45278</v>
      </c>
      <c r="O52" s="5">
        <v>4499.95</v>
      </c>
    </row>
    <row r="53" spans="2:15" ht="15" thickBot="1" x14ac:dyDescent="0.4">
      <c r="B53" s="4" t="s">
        <v>168</v>
      </c>
      <c r="C53" s="2">
        <v>45460</v>
      </c>
      <c r="D53" s="1" t="s">
        <v>158</v>
      </c>
      <c r="E53" s="1" t="s">
        <v>159</v>
      </c>
      <c r="F53" s="1" t="s">
        <v>31</v>
      </c>
      <c r="G53" s="1" t="s">
        <v>32</v>
      </c>
      <c r="H53" s="1" t="s">
        <v>33</v>
      </c>
      <c r="I53" s="3">
        <v>1</v>
      </c>
      <c r="J53" s="3">
        <v>59.99</v>
      </c>
      <c r="K53" s="1" t="s">
        <v>57</v>
      </c>
      <c r="L53" s="1" t="s">
        <v>50</v>
      </c>
      <c r="M53" s="1" t="s">
        <v>27</v>
      </c>
      <c r="N53" s="2">
        <v>45190</v>
      </c>
      <c r="O53" s="5">
        <v>59.99</v>
      </c>
    </row>
    <row r="54" spans="2:15" ht="15" thickBot="1" x14ac:dyDescent="0.4">
      <c r="B54" s="4" t="s">
        <v>169</v>
      </c>
      <c r="C54" s="2">
        <v>45460</v>
      </c>
      <c r="D54" s="1" t="s">
        <v>141</v>
      </c>
      <c r="E54" s="1" t="s">
        <v>142</v>
      </c>
      <c r="F54" s="1" t="s">
        <v>105</v>
      </c>
      <c r="G54" s="1" t="s">
        <v>106</v>
      </c>
      <c r="H54" s="1" t="s">
        <v>46</v>
      </c>
      <c r="I54" s="3">
        <v>2</v>
      </c>
      <c r="J54" s="3">
        <v>299.99</v>
      </c>
      <c r="K54" s="1" t="s">
        <v>57</v>
      </c>
      <c r="L54" s="1" t="s">
        <v>63</v>
      </c>
      <c r="M54" s="1" t="s">
        <v>36</v>
      </c>
      <c r="N54" s="2">
        <v>45253</v>
      </c>
      <c r="O54" s="5">
        <v>599.98</v>
      </c>
    </row>
    <row r="55" spans="2:15" ht="15" thickBot="1" x14ac:dyDescent="0.4">
      <c r="B55" s="4" t="s">
        <v>170</v>
      </c>
      <c r="C55" s="2">
        <v>45468</v>
      </c>
      <c r="D55" s="1" t="s">
        <v>171</v>
      </c>
      <c r="E55" s="1" t="s">
        <v>172</v>
      </c>
      <c r="F55" s="1" t="s">
        <v>117</v>
      </c>
      <c r="G55" s="1" t="s">
        <v>118</v>
      </c>
      <c r="H55" s="1" t="s">
        <v>19</v>
      </c>
      <c r="I55" s="3">
        <v>4</v>
      </c>
      <c r="J55" s="3">
        <v>89.99</v>
      </c>
      <c r="K55" s="1" t="s">
        <v>57</v>
      </c>
      <c r="L55" s="1" t="s">
        <v>35</v>
      </c>
      <c r="M55" s="1" t="s">
        <v>22</v>
      </c>
      <c r="N55" s="2">
        <v>45281</v>
      </c>
      <c r="O55" s="5">
        <v>359.96</v>
      </c>
    </row>
    <row r="56" spans="2:15" ht="15" thickBot="1" x14ac:dyDescent="0.4">
      <c r="B56" s="4" t="s">
        <v>173</v>
      </c>
      <c r="C56" s="2">
        <v>45469</v>
      </c>
      <c r="D56" s="1" t="s">
        <v>29</v>
      </c>
      <c r="E56" s="1" t="s">
        <v>30</v>
      </c>
      <c r="F56" s="1" t="s">
        <v>114</v>
      </c>
      <c r="G56" s="1" t="s">
        <v>115</v>
      </c>
      <c r="H56" s="1" t="s">
        <v>33</v>
      </c>
      <c r="I56" s="3">
        <v>1</v>
      </c>
      <c r="J56" s="3">
        <v>79.989999999999995</v>
      </c>
      <c r="K56" s="1" t="s">
        <v>34</v>
      </c>
      <c r="L56" s="1" t="s">
        <v>21</v>
      </c>
      <c r="M56" s="1" t="s">
        <v>27</v>
      </c>
      <c r="N56" s="2">
        <v>45352</v>
      </c>
      <c r="O56" s="5">
        <v>79.989999999999995</v>
      </c>
    </row>
    <row r="57" spans="2:15" ht="15" thickBot="1" x14ac:dyDescent="0.4">
      <c r="B57" s="4" t="s">
        <v>174</v>
      </c>
      <c r="C57" s="2">
        <v>45469</v>
      </c>
      <c r="D57" s="1" t="s">
        <v>59</v>
      </c>
      <c r="E57" s="1" t="s">
        <v>60</v>
      </c>
      <c r="F57" s="1" t="s">
        <v>117</v>
      </c>
      <c r="G57" s="1" t="s">
        <v>118</v>
      </c>
      <c r="H57" s="1" t="s">
        <v>19</v>
      </c>
      <c r="I57" s="3">
        <v>2</v>
      </c>
      <c r="J57" s="3">
        <v>89.99</v>
      </c>
      <c r="K57" s="1" t="s">
        <v>20</v>
      </c>
      <c r="L57" s="1" t="s">
        <v>50</v>
      </c>
      <c r="M57" s="1" t="s">
        <v>22</v>
      </c>
      <c r="N57" s="2">
        <v>44438</v>
      </c>
      <c r="O57" s="5">
        <v>179.98</v>
      </c>
    </row>
    <row r="58" spans="2:15" ht="16.5" customHeight="1" thickBot="1" x14ac:dyDescent="0.4">
      <c r="B58" s="4" t="s">
        <v>175</v>
      </c>
      <c r="C58" s="2">
        <v>45471</v>
      </c>
      <c r="D58" s="1" t="s">
        <v>38</v>
      </c>
      <c r="E58" s="1" t="s">
        <v>39</v>
      </c>
      <c r="F58" s="1" t="s">
        <v>80</v>
      </c>
      <c r="G58" s="1" t="s">
        <v>81</v>
      </c>
      <c r="H58" s="1" t="s">
        <v>19</v>
      </c>
      <c r="I58" s="3">
        <v>3</v>
      </c>
      <c r="J58" s="3">
        <v>699.99</v>
      </c>
      <c r="K58" s="1" t="s">
        <v>26</v>
      </c>
      <c r="L58" s="1" t="s">
        <v>63</v>
      </c>
      <c r="M58" s="1" t="s">
        <v>27</v>
      </c>
      <c r="N58" s="2">
        <v>45102</v>
      </c>
      <c r="O58" s="5">
        <v>2099.9699999999998</v>
      </c>
    </row>
    <row r="59" spans="2:15" ht="15" thickBot="1" x14ac:dyDescent="0.4">
      <c r="B59" s="4" t="s">
        <v>176</v>
      </c>
      <c r="C59" s="2">
        <v>45471</v>
      </c>
      <c r="D59" s="1" t="s">
        <v>99</v>
      </c>
      <c r="E59" s="1" t="s">
        <v>100</v>
      </c>
      <c r="F59" s="1" t="s">
        <v>61</v>
      </c>
      <c r="G59" s="1" t="s">
        <v>62</v>
      </c>
      <c r="H59" s="1" t="s">
        <v>19</v>
      </c>
      <c r="I59" s="3">
        <v>4</v>
      </c>
      <c r="J59" s="3">
        <v>899.99</v>
      </c>
      <c r="K59" s="1" t="s">
        <v>26</v>
      </c>
      <c r="L59" s="1" t="s">
        <v>63</v>
      </c>
      <c r="M59" s="1" t="s">
        <v>27</v>
      </c>
      <c r="N59" s="2">
        <v>44993</v>
      </c>
      <c r="O59" s="5">
        <v>3599.96</v>
      </c>
    </row>
    <row r="60" spans="2:15" ht="15" thickBot="1" x14ac:dyDescent="0.4">
      <c r="B60" s="4" t="s">
        <v>177</v>
      </c>
      <c r="C60" s="2">
        <v>45472</v>
      </c>
      <c r="D60" s="1" t="s">
        <v>120</v>
      </c>
      <c r="E60" s="1" t="s">
        <v>121</v>
      </c>
      <c r="F60" s="1" t="s">
        <v>44</v>
      </c>
      <c r="G60" s="1" t="s">
        <v>45</v>
      </c>
      <c r="H60" s="1" t="s">
        <v>46</v>
      </c>
      <c r="I60" s="3">
        <v>1</v>
      </c>
      <c r="J60" s="3">
        <v>149.99</v>
      </c>
      <c r="K60" s="1" t="s">
        <v>34</v>
      </c>
      <c r="L60" s="1" t="s">
        <v>63</v>
      </c>
      <c r="M60" s="1" t="s">
        <v>22</v>
      </c>
      <c r="N60" s="2">
        <v>44851</v>
      </c>
      <c r="O60" s="5">
        <v>149.99</v>
      </c>
    </row>
    <row r="61" spans="2:15" ht="15" thickBot="1" x14ac:dyDescent="0.4">
      <c r="B61" s="4" t="s">
        <v>178</v>
      </c>
      <c r="C61" s="2">
        <v>45474</v>
      </c>
      <c r="D61" s="1" t="s">
        <v>132</v>
      </c>
      <c r="E61" s="1" t="s">
        <v>133</v>
      </c>
      <c r="F61" s="1" t="s">
        <v>117</v>
      </c>
      <c r="G61" s="1" t="s">
        <v>118</v>
      </c>
      <c r="H61" s="1" t="s">
        <v>19</v>
      </c>
      <c r="I61" s="3">
        <v>2</v>
      </c>
      <c r="J61" s="3">
        <v>89.99</v>
      </c>
      <c r="K61" s="1" t="s">
        <v>34</v>
      </c>
      <c r="L61" s="1" t="s">
        <v>21</v>
      </c>
      <c r="M61" s="1" t="s">
        <v>27</v>
      </c>
      <c r="N61" s="2">
        <v>45275</v>
      </c>
      <c r="O61" s="5">
        <v>179.98</v>
      </c>
    </row>
    <row r="62" spans="2:15" ht="15" thickBot="1" x14ac:dyDescent="0.4">
      <c r="B62" s="4" t="s">
        <v>179</v>
      </c>
      <c r="C62" s="2">
        <v>45475</v>
      </c>
      <c r="D62" s="1" t="s">
        <v>55</v>
      </c>
      <c r="E62" s="1" t="s">
        <v>56</v>
      </c>
      <c r="F62" s="1" t="s">
        <v>117</v>
      </c>
      <c r="G62" s="1" t="s">
        <v>118</v>
      </c>
      <c r="H62" s="1" t="s">
        <v>19</v>
      </c>
      <c r="I62" s="3">
        <v>1</v>
      </c>
      <c r="J62" s="3">
        <v>89.99</v>
      </c>
      <c r="K62" s="1" t="s">
        <v>34</v>
      </c>
      <c r="L62" s="1" t="s">
        <v>50</v>
      </c>
      <c r="M62" s="1" t="s">
        <v>36</v>
      </c>
      <c r="N62" s="2">
        <v>44802</v>
      </c>
      <c r="O62" s="5">
        <v>89.99</v>
      </c>
    </row>
    <row r="63" spans="2:15" ht="15" thickBot="1" x14ac:dyDescent="0.4">
      <c r="B63" s="4" t="s">
        <v>180</v>
      </c>
      <c r="C63" s="2">
        <v>45476</v>
      </c>
      <c r="D63" s="1" t="s">
        <v>68</v>
      </c>
      <c r="E63" s="1" t="s">
        <v>69</v>
      </c>
      <c r="F63" s="1" t="s">
        <v>117</v>
      </c>
      <c r="G63" s="1" t="s">
        <v>118</v>
      </c>
      <c r="H63" s="1" t="s">
        <v>19</v>
      </c>
      <c r="I63" s="3">
        <v>1</v>
      </c>
      <c r="J63" s="3">
        <v>89.99</v>
      </c>
      <c r="K63" s="1" t="s">
        <v>20</v>
      </c>
      <c r="L63" s="1" t="s">
        <v>35</v>
      </c>
      <c r="M63" s="1" t="s">
        <v>36</v>
      </c>
      <c r="N63" s="2">
        <v>44611</v>
      </c>
      <c r="O63" s="5">
        <v>89.99</v>
      </c>
    </row>
    <row r="64" spans="2:15" ht="15" thickBot="1" x14ac:dyDescent="0.4">
      <c r="B64" s="4" t="s">
        <v>181</v>
      </c>
      <c r="C64" s="2">
        <v>45476</v>
      </c>
      <c r="D64" s="1" t="s">
        <v>182</v>
      </c>
      <c r="E64" s="1" t="s">
        <v>183</v>
      </c>
      <c r="F64" s="1" t="s">
        <v>114</v>
      </c>
      <c r="G64" s="1" t="s">
        <v>115</v>
      </c>
      <c r="H64" s="1" t="s">
        <v>33</v>
      </c>
      <c r="I64" s="3">
        <v>5</v>
      </c>
      <c r="J64" s="3">
        <v>79.989999999999995</v>
      </c>
      <c r="K64" s="1" t="s">
        <v>57</v>
      </c>
      <c r="L64" s="1" t="s">
        <v>21</v>
      </c>
      <c r="M64" s="1" t="s">
        <v>22</v>
      </c>
      <c r="N64" s="2">
        <v>44981</v>
      </c>
      <c r="O64" s="5">
        <v>399.95</v>
      </c>
    </row>
    <row r="65" spans="2:15" ht="15" thickBot="1" x14ac:dyDescent="0.4">
      <c r="B65" s="4" t="s">
        <v>184</v>
      </c>
      <c r="C65" s="2">
        <v>45481</v>
      </c>
      <c r="D65" s="1" t="s">
        <v>185</v>
      </c>
      <c r="E65" s="1" t="s">
        <v>186</v>
      </c>
      <c r="F65" s="1" t="s">
        <v>44</v>
      </c>
      <c r="G65" s="1" t="s">
        <v>45</v>
      </c>
      <c r="H65" s="1" t="s">
        <v>46</v>
      </c>
      <c r="I65" s="3">
        <v>1</v>
      </c>
      <c r="J65" s="3">
        <v>149.99</v>
      </c>
      <c r="K65" s="1" t="s">
        <v>34</v>
      </c>
      <c r="L65" s="1" t="s">
        <v>40</v>
      </c>
      <c r="M65" s="1" t="s">
        <v>22</v>
      </c>
      <c r="N65" s="2">
        <v>44421</v>
      </c>
      <c r="O65" s="5">
        <v>149.99</v>
      </c>
    </row>
    <row r="66" spans="2:15" ht="15" thickBot="1" x14ac:dyDescent="0.4">
      <c r="B66" s="4" t="s">
        <v>187</v>
      </c>
      <c r="C66" s="2">
        <v>45481</v>
      </c>
      <c r="D66" s="1" t="s">
        <v>42</v>
      </c>
      <c r="E66" s="1" t="s">
        <v>43</v>
      </c>
      <c r="F66" s="1" t="s">
        <v>80</v>
      </c>
      <c r="G66" s="1" t="s">
        <v>81</v>
      </c>
      <c r="H66" s="1" t="s">
        <v>19</v>
      </c>
      <c r="I66" s="3">
        <v>2</v>
      </c>
      <c r="J66" s="3">
        <v>699.99</v>
      </c>
      <c r="K66" s="1" t="s">
        <v>34</v>
      </c>
      <c r="L66" s="1" t="s">
        <v>63</v>
      </c>
      <c r="M66" s="1" t="s">
        <v>27</v>
      </c>
      <c r="N66" s="2">
        <v>45389</v>
      </c>
      <c r="O66" s="5">
        <v>1399.98</v>
      </c>
    </row>
    <row r="67" spans="2:15" ht="15" thickBot="1" x14ac:dyDescent="0.4">
      <c r="B67" s="4" t="s">
        <v>188</v>
      </c>
      <c r="C67" s="2">
        <v>45481</v>
      </c>
      <c r="D67" s="1" t="s">
        <v>96</v>
      </c>
      <c r="E67" s="1" t="s">
        <v>97</v>
      </c>
      <c r="F67" s="1" t="s">
        <v>117</v>
      </c>
      <c r="G67" s="1" t="s">
        <v>118</v>
      </c>
      <c r="H67" s="1" t="s">
        <v>19</v>
      </c>
      <c r="I67" s="3">
        <v>5</v>
      </c>
      <c r="J67" s="3">
        <v>89.99</v>
      </c>
      <c r="K67" s="1" t="s">
        <v>57</v>
      </c>
      <c r="L67" s="1" t="s">
        <v>40</v>
      </c>
      <c r="M67" s="1" t="s">
        <v>27</v>
      </c>
      <c r="N67" s="2">
        <v>45161</v>
      </c>
      <c r="O67" s="5">
        <v>449.95</v>
      </c>
    </row>
    <row r="68" spans="2:15" ht="15" thickBot="1" x14ac:dyDescent="0.4">
      <c r="B68" s="4" t="s">
        <v>189</v>
      </c>
      <c r="C68" s="2">
        <v>45482</v>
      </c>
      <c r="D68" s="1" t="s">
        <v>171</v>
      </c>
      <c r="E68" s="1" t="s">
        <v>172</v>
      </c>
      <c r="F68" s="1" t="s">
        <v>31</v>
      </c>
      <c r="G68" s="1" t="s">
        <v>32</v>
      </c>
      <c r="H68" s="1" t="s">
        <v>33</v>
      </c>
      <c r="I68" s="3">
        <v>4</v>
      </c>
      <c r="J68" s="3">
        <v>59.99</v>
      </c>
      <c r="K68" s="1" t="s">
        <v>20</v>
      </c>
      <c r="L68" s="1" t="s">
        <v>35</v>
      </c>
      <c r="M68" s="1" t="s">
        <v>36</v>
      </c>
      <c r="N68" s="2">
        <v>44509</v>
      </c>
      <c r="O68" s="5">
        <v>239.96</v>
      </c>
    </row>
    <row r="69" spans="2:15" ht="15" thickBot="1" x14ac:dyDescent="0.4">
      <c r="B69" s="4" t="s">
        <v>190</v>
      </c>
      <c r="C69" s="2">
        <v>45484</v>
      </c>
      <c r="D69" s="1" t="s">
        <v>24</v>
      </c>
      <c r="E69" s="1" t="s">
        <v>25</v>
      </c>
      <c r="F69" s="1" t="s">
        <v>52</v>
      </c>
      <c r="G69" s="1" t="s">
        <v>53</v>
      </c>
      <c r="H69" s="1" t="s">
        <v>19</v>
      </c>
      <c r="I69" s="3">
        <v>1</v>
      </c>
      <c r="J69" s="3">
        <v>149.99</v>
      </c>
      <c r="K69" s="1" t="s">
        <v>20</v>
      </c>
      <c r="L69" s="1" t="s">
        <v>21</v>
      </c>
      <c r="M69" s="1" t="s">
        <v>36</v>
      </c>
      <c r="N69" s="2">
        <v>44909</v>
      </c>
      <c r="O69" s="5">
        <v>149.99</v>
      </c>
    </row>
    <row r="70" spans="2:15" ht="15" thickBot="1" x14ac:dyDescent="0.4">
      <c r="B70" s="4" t="s">
        <v>191</v>
      </c>
      <c r="C70" s="2">
        <v>45484</v>
      </c>
      <c r="D70" s="1" t="s">
        <v>192</v>
      </c>
      <c r="E70" s="1" t="s">
        <v>193</v>
      </c>
      <c r="F70" s="1" t="s">
        <v>105</v>
      </c>
      <c r="G70" s="1" t="s">
        <v>106</v>
      </c>
      <c r="H70" s="1" t="s">
        <v>46</v>
      </c>
      <c r="I70" s="3">
        <v>1</v>
      </c>
      <c r="J70" s="3">
        <v>299.99</v>
      </c>
      <c r="K70" s="1" t="s">
        <v>26</v>
      </c>
      <c r="L70" s="1" t="s">
        <v>40</v>
      </c>
      <c r="M70" s="1" t="s">
        <v>27</v>
      </c>
      <c r="N70" s="2">
        <v>44891</v>
      </c>
      <c r="O70" s="5">
        <v>299.99</v>
      </c>
    </row>
    <row r="71" spans="2:15" ht="15" thickBot="1" x14ac:dyDescent="0.4">
      <c r="B71" s="4" t="s">
        <v>194</v>
      </c>
      <c r="C71" s="2">
        <v>45487</v>
      </c>
      <c r="D71" s="1" t="s">
        <v>192</v>
      </c>
      <c r="E71" s="1" t="s">
        <v>193</v>
      </c>
      <c r="F71" s="1" t="s">
        <v>126</v>
      </c>
      <c r="G71" s="1" t="s">
        <v>127</v>
      </c>
      <c r="H71" s="1" t="s">
        <v>46</v>
      </c>
      <c r="I71" s="3">
        <v>2</v>
      </c>
      <c r="J71" s="3">
        <v>199.99</v>
      </c>
      <c r="K71" s="1" t="s">
        <v>20</v>
      </c>
      <c r="L71" s="1" t="s">
        <v>40</v>
      </c>
      <c r="M71" s="1" t="s">
        <v>22</v>
      </c>
      <c r="N71" s="2">
        <v>44541</v>
      </c>
      <c r="O71" s="5">
        <v>399.98</v>
      </c>
    </row>
    <row r="72" spans="2:15" ht="15" thickBot="1" x14ac:dyDescent="0.4">
      <c r="B72" s="4" t="s">
        <v>195</v>
      </c>
      <c r="C72" s="2">
        <v>45490</v>
      </c>
      <c r="D72" s="1" t="s">
        <v>196</v>
      </c>
      <c r="E72" s="1" t="s">
        <v>197</v>
      </c>
      <c r="F72" s="1" t="s">
        <v>31</v>
      </c>
      <c r="G72" s="1" t="s">
        <v>32</v>
      </c>
      <c r="H72" s="1" t="s">
        <v>33</v>
      </c>
      <c r="I72" s="3">
        <v>3</v>
      </c>
      <c r="J72" s="3">
        <v>59.99</v>
      </c>
      <c r="K72" s="1" t="s">
        <v>26</v>
      </c>
      <c r="L72" s="1" t="s">
        <v>50</v>
      </c>
      <c r="M72" s="1" t="s">
        <v>22</v>
      </c>
      <c r="N72" s="2">
        <v>45130</v>
      </c>
      <c r="O72" s="5">
        <v>179.97</v>
      </c>
    </row>
    <row r="73" spans="2:15" ht="15" thickBot="1" x14ac:dyDescent="0.4">
      <c r="B73" s="4" t="s">
        <v>198</v>
      </c>
      <c r="C73" s="2">
        <v>45490</v>
      </c>
      <c r="D73" s="1" t="s">
        <v>72</v>
      </c>
      <c r="E73" s="1" t="s">
        <v>73</v>
      </c>
      <c r="F73" s="1" t="s">
        <v>44</v>
      </c>
      <c r="G73" s="1" t="s">
        <v>45</v>
      </c>
      <c r="H73" s="1" t="s">
        <v>46</v>
      </c>
      <c r="I73" s="3">
        <v>3</v>
      </c>
      <c r="J73" s="3">
        <v>149.99</v>
      </c>
      <c r="K73" s="1" t="s">
        <v>20</v>
      </c>
      <c r="L73" s="1" t="s">
        <v>21</v>
      </c>
      <c r="M73" s="1" t="s">
        <v>27</v>
      </c>
      <c r="N73" s="2">
        <v>45199</v>
      </c>
      <c r="O73" s="5">
        <v>449.97</v>
      </c>
    </row>
    <row r="74" spans="2:15" ht="15" thickBot="1" x14ac:dyDescent="0.4">
      <c r="B74" s="4" t="s">
        <v>199</v>
      </c>
      <c r="C74" s="2">
        <v>45491</v>
      </c>
      <c r="D74" s="1" t="s">
        <v>65</v>
      </c>
      <c r="E74" s="1" t="s">
        <v>66</v>
      </c>
      <c r="F74" s="1" t="s">
        <v>126</v>
      </c>
      <c r="G74" s="1" t="s">
        <v>127</v>
      </c>
      <c r="H74" s="1" t="s">
        <v>46</v>
      </c>
      <c r="I74" s="3">
        <v>3</v>
      </c>
      <c r="J74" s="3">
        <v>199.99</v>
      </c>
      <c r="K74" s="1" t="s">
        <v>20</v>
      </c>
      <c r="L74" s="1" t="s">
        <v>40</v>
      </c>
      <c r="M74" s="1" t="s">
        <v>27</v>
      </c>
      <c r="N74" s="2">
        <v>45254</v>
      </c>
      <c r="O74" s="5">
        <v>599.97</v>
      </c>
    </row>
    <row r="75" spans="2:15" ht="15" thickBot="1" x14ac:dyDescent="0.4">
      <c r="B75" s="4" t="s">
        <v>200</v>
      </c>
      <c r="C75" s="2">
        <v>45496</v>
      </c>
      <c r="D75" s="1" t="s">
        <v>150</v>
      </c>
      <c r="E75" s="1" t="s">
        <v>151</v>
      </c>
      <c r="F75" s="1" t="s">
        <v>61</v>
      </c>
      <c r="G75" s="1" t="s">
        <v>62</v>
      </c>
      <c r="H75" s="1" t="s">
        <v>19</v>
      </c>
      <c r="I75" s="3">
        <v>1</v>
      </c>
      <c r="J75" s="3">
        <v>899.99</v>
      </c>
      <c r="K75" s="1" t="s">
        <v>20</v>
      </c>
      <c r="L75" s="1" t="s">
        <v>21</v>
      </c>
      <c r="M75" s="1" t="s">
        <v>36</v>
      </c>
      <c r="N75" s="2">
        <v>45179</v>
      </c>
      <c r="O75" s="5">
        <v>899.99</v>
      </c>
    </row>
    <row r="76" spans="2:15" ht="15" thickBot="1" x14ac:dyDescent="0.4">
      <c r="B76" s="4" t="s">
        <v>201</v>
      </c>
      <c r="C76" s="2">
        <v>45497</v>
      </c>
      <c r="D76" s="1" t="s">
        <v>24</v>
      </c>
      <c r="E76" s="1" t="s">
        <v>25</v>
      </c>
      <c r="F76" s="1" t="s">
        <v>61</v>
      </c>
      <c r="G76" s="1" t="s">
        <v>62</v>
      </c>
      <c r="H76" s="1" t="s">
        <v>19</v>
      </c>
      <c r="I76" s="3">
        <v>5</v>
      </c>
      <c r="J76" s="3">
        <v>899.99</v>
      </c>
      <c r="K76" s="1" t="s">
        <v>57</v>
      </c>
      <c r="L76" s="1" t="s">
        <v>35</v>
      </c>
      <c r="M76" s="1" t="s">
        <v>36</v>
      </c>
      <c r="N76" s="2">
        <v>44899</v>
      </c>
      <c r="O76" s="5">
        <v>4499.95</v>
      </c>
    </row>
    <row r="77" spans="2:15" ht="15" thickBot="1" x14ac:dyDescent="0.4">
      <c r="B77" s="4" t="s">
        <v>202</v>
      </c>
      <c r="C77" s="2">
        <v>45498</v>
      </c>
      <c r="D77" s="1" t="s">
        <v>182</v>
      </c>
      <c r="E77" s="1" t="s">
        <v>183</v>
      </c>
      <c r="F77" s="1" t="s">
        <v>31</v>
      </c>
      <c r="G77" s="1" t="s">
        <v>32</v>
      </c>
      <c r="H77" s="1" t="s">
        <v>33</v>
      </c>
      <c r="I77" s="3">
        <v>2</v>
      </c>
      <c r="J77" s="3">
        <v>59.99</v>
      </c>
      <c r="K77" s="1" t="s">
        <v>20</v>
      </c>
      <c r="L77" s="1" t="s">
        <v>40</v>
      </c>
      <c r="M77" s="1" t="s">
        <v>36</v>
      </c>
      <c r="N77" s="2">
        <v>45152</v>
      </c>
      <c r="O77" s="5">
        <v>119.98</v>
      </c>
    </row>
    <row r="78" spans="2:15" ht="15" thickBot="1" x14ac:dyDescent="0.4">
      <c r="B78" s="4" t="s">
        <v>203</v>
      </c>
      <c r="C78" s="2">
        <v>45498</v>
      </c>
      <c r="D78" s="1" t="s">
        <v>196</v>
      </c>
      <c r="E78" s="1" t="s">
        <v>197</v>
      </c>
      <c r="F78" s="1" t="s">
        <v>17</v>
      </c>
      <c r="G78" s="1" t="s">
        <v>18</v>
      </c>
      <c r="H78" s="1" t="s">
        <v>19</v>
      </c>
      <c r="I78" s="3">
        <v>4</v>
      </c>
      <c r="J78" s="3">
        <v>249.99</v>
      </c>
      <c r="K78" s="1" t="s">
        <v>57</v>
      </c>
      <c r="L78" s="1" t="s">
        <v>21</v>
      </c>
      <c r="M78" s="1" t="s">
        <v>36</v>
      </c>
      <c r="N78" s="2">
        <v>45127</v>
      </c>
      <c r="O78" s="5">
        <v>999.96</v>
      </c>
    </row>
    <row r="79" spans="2:15" ht="15" thickBot="1" x14ac:dyDescent="0.4">
      <c r="B79" s="4" t="s">
        <v>204</v>
      </c>
      <c r="C79" s="2">
        <v>45500</v>
      </c>
      <c r="D79" s="1" t="s">
        <v>96</v>
      </c>
      <c r="E79" s="1" t="s">
        <v>97</v>
      </c>
      <c r="F79" s="1" t="s">
        <v>17</v>
      </c>
      <c r="G79" s="1" t="s">
        <v>18</v>
      </c>
      <c r="H79" s="1" t="s">
        <v>19</v>
      </c>
      <c r="I79" s="3">
        <v>2</v>
      </c>
      <c r="J79" s="3">
        <v>249.99</v>
      </c>
      <c r="K79" s="1" t="s">
        <v>20</v>
      </c>
      <c r="L79" s="1" t="s">
        <v>40</v>
      </c>
      <c r="M79" s="1" t="s">
        <v>27</v>
      </c>
      <c r="N79" s="2">
        <v>45164</v>
      </c>
      <c r="O79" s="5">
        <v>499.98</v>
      </c>
    </row>
    <row r="80" spans="2:15" ht="15" thickBot="1" x14ac:dyDescent="0.4">
      <c r="B80" s="4" t="s">
        <v>205</v>
      </c>
      <c r="C80" s="2">
        <v>45500</v>
      </c>
      <c r="D80" s="1" t="s">
        <v>147</v>
      </c>
      <c r="E80" s="1" t="s">
        <v>148</v>
      </c>
      <c r="F80" s="1" t="s">
        <v>105</v>
      </c>
      <c r="G80" s="1" t="s">
        <v>106</v>
      </c>
      <c r="H80" s="1" t="s">
        <v>46</v>
      </c>
      <c r="I80" s="3">
        <v>1</v>
      </c>
      <c r="J80" s="3">
        <v>299.99</v>
      </c>
      <c r="K80" s="1" t="s">
        <v>20</v>
      </c>
      <c r="L80" s="1" t="s">
        <v>35</v>
      </c>
      <c r="M80" s="1" t="s">
        <v>22</v>
      </c>
      <c r="N80" s="2">
        <v>44982</v>
      </c>
      <c r="O80" s="5">
        <v>299.99</v>
      </c>
    </row>
    <row r="81" spans="2:15" ht="15" thickBot="1" x14ac:dyDescent="0.4">
      <c r="B81" s="4" t="s">
        <v>206</v>
      </c>
      <c r="C81" s="2">
        <v>45501</v>
      </c>
      <c r="D81" s="1" t="s">
        <v>86</v>
      </c>
      <c r="E81" s="1" t="s">
        <v>87</v>
      </c>
      <c r="F81" s="1" t="s">
        <v>117</v>
      </c>
      <c r="G81" s="1" t="s">
        <v>118</v>
      </c>
      <c r="H81" s="1" t="s">
        <v>19</v>
      </c>
      <c r="I81" s="3">
        <v>2</v>
      </c>
      <c r="J81" s="3">
        <v>89.99</v>
      </c>
      <c r="K81" s="1" t="s">
        <v>34</v>
      </c>
      <c r="L81" s="1" t="s">
        <v>35</v>
      </c>
      <c r="M81" s="1" t="s">
        <v>22</v>
      </c>
      <c r="N81" s="2">
        <v>44976</v>
      </c>
      <c r="O81" s="5">
        <v>179.98</v>
      </c>
    </row>
    <row r="82" spans="2:15" ht="15" thickBot="1" x14ac:dyDescent="0.4">
      <c r="B82" s="4" t="s">
        <v>207</v>
      </c>
      <c r="C82" s="2">
        <v>45501</v>
      </c>
      <c r="D82" s="1" t="s">
        <v>147</v>
      </c>
      <c r="E82" s="1" t="s">
        <v>148</v>
      </c>
      <c r="F82" s="1" t="s">
        <v>105</v>
      </c>
      <c r="G82" s="1" t="s">
        <v>106</v>
      </c>
      <c r="H82" s="1" t="s">
        <v>46</v>
      </c>
      <c r="I82" s="3">
        <v>3</v>
      </c>
      <c r="J82" s="3">
        <v>299.99</v>
      </c>
      <c r="K82" s="1" t="s">
        <v>20</v>
      </c>
      <c r="L82" s="1" t="s">
        <v>21</v>
      </c>
      <c r="M82" s="1" t="s">
        <v>22</v>
      </c>
      <c r="N82" s="2">
        <v>44732</v>
      </c>
      <c r="O82" s="5">
        <v>899.97</v>
      </c>
    </row>
    <row r="83" spans="2:15" ht="15" thickBot="1" x14ac:dyDescent="0.4">
      <c r="B83" s="4" t="s">
        <v>208</v>
      </c>
      <c r="C83" s="2">
        <v>45503</v>
      </c>
      <c r="D83" s="1" t="s">
        <v>86</v>
      </c>
      <c r="E83" s="1" t="s">
        <v>87</v>
      </c>
      <c r="F83" s="1" t="s">
        <v>80</v>
      </c>
      <c r="G83" s="1" t="s">
        <v>81</v>
      </c>
      <c r="H83" s="1" t="s">
        <v>19</v>
      </c>
      <c r="I83" s="3">
        <v>2</v>
      </c>
      <c r="J83" s="3">
        <v>699.99</v>
      </c>
      <c r="K83" s="1" t="s">
        <v>26</v>
      </c>
      <c r="L83" s="1" t="s">
        <v>40</v>
      </c>
      <c r="M83" s="1" t="s">
        <v>27</v>
      </c>
      <c r="N83" s="2">
        <v>44999</v>
      </c>
      <c r="O83" s="5">
        <v>1399.98</v>
      </c>
    </row>
    <row r="84" spans="2:15" ht="15" thickBot="1" x14ac:dyDescent="0.4">
      <c r="B84" s="4" t="s">
        <v>209</v>
      </c>
      <c r="C84" s="2">
        <v>45504</v>
      </c>
      <c r="D84" s="1" t="s">
        <v>120</v>
      </c>
      <c r="E84" s="1" t="s">
        <v>121</v>
      </c>
      <c r="F84" s="1" t="s">
        <v>61</v>
      </c>
      <c r="G84" s="1" t="s">
        <v>62</v>
      </c>
      <c r="H84" s="1" t="s">
        <v>19</v>
      </c>
      <c r="I84" s="3">
        <v>4</v>
      </c>
      <c r="J84" s="3">
        <v>899.99</v>
      </c>
      <c r="K84" s="1" t="s">
        <v>57</v>
      </c>
      <c r="L84" s="1" t="s">
        <v>35</v>
      </c>
      <c r="M84" s="1" t="s">
        <v>36</v>
      </c>
      <c r="N84" s="2">
        <v>44523</v>
      </c>
      <c r="O84" s="5">
        <v>3599.96</v>
      </c>
    </row>
    <row r="85" spans="2:15" ht="15" thickBot="1" x14ac:dyDescent="0.4">
      <c r="B85" s="4" t="s">
        <v>210</v>
      </c>
      <c r="C85" s="2">
        <v>45509</v>
      </c>
      <c r="D85" s="1" t="s">
        <v>211</v>
      </c>
      <c r="E85" s="1" t="s">
        <v>212</v>
      </c>
      <c r="F85" s="1" t="s">
        <v>44</v>
      </c>
      <c r="G85" s="1" t="s">
        <v>45</v>
      </c>
      <c r="H85" s="1" t="s">
        <v>46</v>
      </c>
      <c r="I85" s="3">
        <v>2</v>
      </c>
      <c r="J85" s="3">
        <v>149.99</v>
      </c>
      <c r="K85" s="1" t="s">
        <v>26</v>
      </c>
      <c r="L85" s="1" t="s">
        <v>50</v>
      </c>
      <c r="M85" s="1" t="s">
        <v>22</v>
      </c>
      <c r="N85" s="2">
        <v>44542</v>
      </c>
      <c r="O85" s="5">
        <v>299.98</v>
      </c>
    </row>
    <row r="86" spans="2:15" ht="15" thickBot="1" x14ac:dyDescent="0.4">
      <c r="B86" s="4" t="s">
        <v>213</v>
      </c>
      <c r="C86" s="2">
        <v>45510</v>
      </c>
      <c r="D86" s="1" t="s">
        <v>102</v>
      </c>
      <c r="E86" s="1" t="s">
        <v>103</v>
      </c>
      <c r="F86" s="1" t="s">
        <v>44</v>
      </c>
      <c r="G86" s="1" t="s">
        <v>45</v>
      </c>
      <c r="H86" s="1" t="s">
        <v>46</v>
      </c>
      <c r="I86" s="3">
        <v>2</v>
      </c>
      <c r="J86" s="3">
        <v>149.99</v>
      </c>
      <c r="K86" s="1" t="s">
        <v>57</v>
      </c>
      <c r="L86" s="1" t="s">
        <v>63</v>
      </c>
      <c r="M86" s="1" t="s">
        <v>36</v>
      </c>
      <c r="N86" s="2">
        <v>44667</v>
      </c>
      <c r="O86" s="5">
        <v>299.98</v>
      </c>
    </row>
    <row r="87" spans="2:15" ht="15" thickBot="1" x14ac:dyDescent="0.4">
      <c r="B87" s="4" t="s">
        <v>214</v>
      </c>
      <c r="C87" s="2">
        <v>45513</v>
      </c>
      <c r="D87" s="1" t="s">
        <v>89</v>
      </c>
      <c r="E87" s="1" t="s">
        <v>90</v>
      </c>
      <c r="F87" s="1" t="s">
        <v>117</v>
      </c>
      <c r="G87" s="1" t="s">
        <v>118</v>
      </c>
      <c r="H87" s="1" t="s">
        <v>19</v>
      </c>
      <c r="I87" s="3">
        <v>1</v>
      </c>
      <c r="J87" s="3">
        <v>89.99</v>
      </c>
      <c r="K87" s="1" t="s">
        <v>26</v>
      </c>
      <c r="L87" s="1" t="s">
        <v>40</v>
      </c>
      <c r="M87" s="1" t="s">
        <v>36</v>
      </c>
      <c r="N87" s="2">
        <v>45393</v>
      </c>
      <c r="O87" s="5">
        <v>89.99</v>
      </c>
    </row>
    <row r="88" spans="2:15" ht="15" thickBot="1" x14ac:dyDescent="0.4">
      <c r="B88" s="4" t="s">
        <v>215</v>
      </c>
      <c r="C88" s="2">
        <v>45515</v>
      </c>
      <c r="D88" s="1" t="s">
        <v>86</v>
      </c>
      <c r="E88" s="1" t="s">
        <v>87</v>
      </c>
      <c r="F88" s="1" t="s">
        <v>105</v>
      </c>
      <c r="G88" s="1" t="s">
        <v>106</v>
      </c>
      <c r="H88" s="1" t="s">
        <v>46</v>
      </c>
      <c r="I88" s="3">
        <v>5</v>
      </c>
      <c r="J88" s="3">
        <v>299.99</v>
      </c>
      <c r="K88" s="1" t="s">
        <v>26</v>
      </c>
      <c r="L88" s="1" t="s">
        <v>40</v>
      </c>
      <c r="M88" s="1" t="s">
        <v>22</v>
      </c>
      <c r="N88" s="2">
        <v>44965</v>
      </c>
      <c r="O88" s="5">
        <v>1499.95</v>
      </c>
    </row>
    <row r="89" spans="2:15" ht="15" thickBot="1" x14ac:dyDescent="0.4">
      <c r="B89" s="4" t="s">
        <v>216</v>
      </c>
      <c r="C89" s="2">
        <v>45517</v>
      </c>
      <c r="D89" s="1" t="s">
        <v>182</v>
      </c>
      <c r="E89" s="1" t="s">
        <v>183</v>
      </c>
      <c r="F89" s="1" t="s">
        <v>52</v>
      </c>
      <c r="G89" s="1" t="s">
        <v>53</v>
      </c>
      <c r="H89" s="1" t="s">
        <v>19</v>
      </c>
      <c r="I89" s="3">
        <v>4</v>
      </c>
      <c r="J89" s="3">
        <v>149.99</v>
      </c>
      <c r="K89" s="1" t="s">
        <v>57</v>
      </c>
      <c r="L89" s="1" t="s">
        <v>35</v>
      </c>
      <c r="M89" s="1" t="s">
        <v>27</v>
      </c>
      <c r="N89" s="2">
        <v>44820</v>
      </c>
      <c r="O89" s="5">
        <v>599.96</v>
      </c>
    </row>
    <row r="90" spans="2:15" ht="15" thickBot="1" x14ac:dyDescent="0.4">
      <c r="B90" s="4" t="s">
        <v>217</v>
      </c>
      <c r="C90" s="2">
        <v>45517</v>
      </c>
      <c r="D90" s="1" t="s">
        <v>185</v>
      </c>
      <c r="E90" s="1" t="s">
        <v>186</v>
      </c>
      <c r="F90" s="1" t="s">
        <v>17</v>
      </c>
      <c r="G90" s="1" t="s">
        <v>18</v>
      </c>
      <c r="H90" s="1" t="s">
        <v>19</v>
      </c>
      <c r="I90" s="3">
        <v>5</v>
      </c>
      <c r="J90" s="3">
        <v>249.99</v>
      </c>
      <c r="K90" s="1" t="s">
        <v>34</v>
      </c>
      <c r="L90" s="1" t="s">
        <v>63</v>
      </c>
      <c r="M90" s="1" t="s">
        <v>27</v>
      </c>
      <c r="N90" s="2">
        <v>44782</v>
      </c>
      <c r="O90" s="5">
        <v>1249.95</v>
      </c>
    </row>
    <row r="91" spans="2:15" ht="15" thickBot="1" x14ac:dyDescent="0.4">
      <c r="B91" s="4" t="s">
        <v>218</v>
      </c>
      <c r="C91" s="2">
        <v>45517</v>
      </c>
      <c r="D91" s="1" t="s">
        <v>65</v>
      </c>
      <c r="E91" s="1" t="s">
        <v>66</v>
      </c>
      <c r="F91" s="1" t="s">
        <v>17</v>
      </c>
      <c r="G91" s="1" t="s">
        <v>18</v>
      </c>
      <c r="H91" s="1" t="s">
        <v>19</v>
      </c>
      <c r="I91" s="3">
        <v>3</v>
      </c>
      <c r="J91" s="3">
        <v>249.99</v>
      </c>
      <c r="K91" s="1" t="s">
        <v>34</v>
      </c>
      <c r="L91" s="1" t="s">
        <v>40</v>
      </c>
      <c r="M91" s="1" t="s">
        <v>27</v>
      </c>
      <c r="N91" s="2">
        <v>44465</v>
      </c>
      <c r="O91" s="5">
        <v>749.97</v>
      </c>
    </row>
    <row r="92" spans="2:15" ht="15" customHeight="1" thickBot="1" x14ac:dyDescent="0.4">
      <c r="B92" s="4" t="s">
        <v>219</v>
      </c>
      <c r="C92" s="2">
        <v>45517</v>
      </c>
      <c r="D92" s="1" t="s">
        <v>38</v>
      </c>
      <c r="E92" s="1" t="s">
        <v>39</v>
      </c>
      <c r="F92" s="1" t="s">
        <v>126</v>
      </c>
      <c r="G92" s="1" t="s">
        <v>127</v>
      </c>
      <c r="H92" s="1" t="s">
        <v>46</v>
      </c>
      <c r="I92" s="3">
        <v>4</v>
      </c>
      <c r="J92" s="3">
        <v>199.99</v>
      </c>
      <c r="K92" s="1" t="s">
        <v>20</v>
      </c>
      <c r="L92" s="1" t="s">
        <v>40</v>
      </c>
      <c r="M92" s="1" t="s">
        <v>36</v>
      </c>
      <c r="N92" s="2">
        <v>44458</v>
      </c>
      <c r="O92" s="5">
        <v>799.96</v>
      </c>
    </row>
    <row r="93" spans="2:15" ht="15" thickBot="1" x14ac:dyDescent="0.4">
      <c r="B93" s="4" t="s">
        <v>220</v>
      </c>
      <c r="C93" s="2">
        <v>45519</v>
      </c>
      <c r="D93" s="1" t="s">
        <v>158</v>
      </c>
      <c r="E93" s="1" t="s">
        <v>159</v>
      </c>
      <c r="F93" s="1" t="s">
        <v>126</v>
      </c>
      <c r="G93" s="1" t="s">
        <v>127</v>
      </c>
      <c r="H93" s="1" t="s">
        <v>46</v>
      </c>
      <c r="I93" s="3">
        <v>5</v>
      </c>
      <c r="J93" s="3">
        <v>199.99</v>
      </c>
      <c r="K93" s="1" t="s">
        <v>20</v>
      </c>
      <c r="L93" s="1" t="s">
        <v>40</v>
      </c>
      <c r="M93" s="1" t="s">
        <v>27</v>
      </c>
      <c r="N93" s="2">
        <v>44991</v>
      </c>
      <c r="O93" s="5">
        <v>999.95</v>
      </c>
    </row>
    <row r="94" spans="2:15" ht="15" thickBot="1" x14ac:dyDescent="0.4">
      <c r="B94" s="4" t="s">
        <v>221</v>
      </c>
      <c r="C94" s="2">
        <v>45522</v>
      </c>
      <c r="D94" s="1" t="s">
        <v>86</v>
      </c>
      <c r="E94" s="1" t="s">
        <v>87</v>
      </c>
      <c r="F94" s="1" t="s">
        <v>117</v>
      </c>
      <c r="G94" s="1" t="s">
        <v>118</v>
      </c>
      <c r="H94" s="1" t="s">
        <v>19</v>
      </c>
      <c r="I94" s="3">
        <v>2</v>
      </c>
      <c r="J94" s="3">
        <v>89.99</v>
      </c>
      <c r="K94" s="1" t="s">
        <v>20</v>
      </c>
      <c r="L94" s="1" t="s">
        <v>63</v>
      </c>
      <c r="M94" s="1" t="s">
        <v>27</v>
      </c>
      <c r="N94" s="2">
        <v>44972</v>
      </c>
      <c r="O94" s="5">
        <v>179.98</v>
      </c>
    </row>
    <row r="95" spans="2:15" ht="15" thickBot="1" x14ac:dyDescent="0.4">
      <c r="B95" s="4" t="s">
        <v>222</v>
      </c>
      <c r="C95" s="2">
        <v>45523</v>
      </c>
      <c r="D95" s="1" t="s">
        <v>196</v>
      </c>
      <c r="E95" s="1" t="s">
        <v>197</v>
      </c>
      <c r="F95" s="1" t="s">
        <v>61</v>
      </c>
      <c r="G95" s="1" t="s">
        <v>62</v>
      </c>
      <c r="H95" s="1" t="s">
        <v>19</v>
      </c>
      <c r="I95" s="3">
        <v>5</v>
      </c>
      <c r="J95" s="3">
        <v>899.99</v>
      </c>
      <c r="K95" s="1" t="s">
        <v>57</v>
      </c>
      <c r="L95" s="1" t="s">
        <v>63</v>
      </c>
      <c r="M95" s="1" t="s">
        <v>22</v>
      </c>
      <c r="N95" s="2">
        <v>44526</v>
      </c>
      <c r="O95" s="5">
        <v>4499.95</v>
      </c>
    </row>
    <row r="96" spans="2:15" ht="15" thickBot="1" x14ac:dyDescent="0.4">
      <c r="B96" s="4" t="s">
        <v>223</v>
      </c>
      <c r="C96" s="2">
        <v>45523</v>
      </c>
      <c r="D96" s="1" t="s">
        <v>108</v>
      </c>
      <c r="E96" s="1" t="s">
        <v>109</v>
      </c>
      <c r="F96" s="1" t="s">
        <v>52</v>
      </c>
      <c r="G96" s="1" t="s">
        <v>53</v>
      </c>
      <c r="H96" s="1" t="s">
        <v>19</v>
      </c>
      <c r="I96" s="3">
        <v>3</v>
      </c>
      <c r="J96" s="3">
        <v>149.99</v>
      </c>
      <c r="K96" s="1" t="s">
        <v>34</v>
      </c>
      <c r="L96" s="1" t="s">
        <v>63</v>
      </c>
      <c r="M96" s="1" t="s">
        <v>22</v>
      </c>
      <c r="N96" s="2">
        <v>44574</v>
      </c>
      <c r="O96" s="5">
        <v>449.97</v>
      </c>
    </row>
    <row r="97" spans="2:15" ht="15" thickBot="1" x14ac:dyDescent="0.4">
      <c r="B97" s="4" t="s">
        <v>224</v>
      </c>
      <c r="C97" s="2">
        <v>45526</v>
      </c>
      <c r="D97" s="1" t="s">
        <v>102</v>
      </c>
      <c r="E97" s="1" t="s">
        <v>103</v>
      </c>
      <c r="F97" s="1" t="s">
        <v>44</v>
      </c>
      <c r="G97" s="1" t="s">
        <v>45</v>
      </c>
      <c r="H97" s="1" t="s">
        <v>46</v>
      </c>
      <c r="I97" s="3">
        <v>5</v>
      </c>
      <c r="J97" s="3">
        <v>149.99</v>
      </c>
      <c r="K97" s="1" t="s">
        <v>26</v>
      </c>
      <c r="L97" s="1" t="s">
        <v>21</v>
      </c>
      <c r="M97" s="1" t="s">
        <v>22</v>
      </c>
      <c r="N97" s="2">
        <v>45310</v>
      </c>
      <c r="O97" s="5">
        <v>749.95</v>
      </c>
    </row>
    <row r="98" spans="2:15" ht="15" thickBot="1" x14ac:dyDescent="0.4">
      <c r="B98" s="4" t="s">
        <v>225</v>
      </c>
      <c r="C98" s="2">
        <v>45528</v>
      </c>
      <c r="D98" s="1" t="s">
        <v>226</v>
      </c>
      <c r="E98" s="1" t="s">
        <v>227</v>
      </c>
      <c r="F98" s="1" t="s">
        <v>114</v>
      </c>
      <c r="G98" s="1" t="s">
        <v>115</v>
      </c>
      <c r="H98" s="1" t="s">
        <v>33</v>
      </c>
      <c r="I98" s="3">
        <v>3</v>
      </c>
      <c r="J98" s="3">
        <v>79.989999999999995</v>
      </c>
      <c r="K98" s="1" t="s">
        <v>20</v>
      </c>
      <c r="L98" s="1" t="s">
        <v>21</v>
      </c>
      <c r="M98" s="1" t="s">
        <v>27</v>
      </c>
      <c r="N98" s="2">
        <v>44779</v>
      </c>
      <c r="O98" s="5">
        <v>239.97</v>
      </c>
    </row>
    <row r="99" spans="2:15" ht="15" thickBot="1" x14ac:dyDescent="0.4">
      <c r="B99" s="4" t="s">
        <v>228</v>
      </c>
      <c r="C99" s="2">
        <v>45528</v>
      </c>
      <c r="D99" s="1" t="s">
        <v>144</v>
      </c>
      <c r="E99" s="1" t="s">
        <v>145</v>
      </c>
      <c r="F99" s="1" t="s">
        <v>17</v>
      </c>
      <c r="G99" s="1" t="s">
        <v>18</v>
      </c>
      <c r="H99" s="1" t="s">
        <v>19</v>
      </c>
      <c r="I99" s="3">
        <v>2</v>
      </c>
      <c r="J99" s="3">
        <v>249.99</v>
      </c>
      <c r="K99" s="1" t="s">
        <v>20</v>
      </c>
      <c r="L99" s="1" t="s">
        <v>35</v>
      </c>
      <c r="M99" s="1" t="s">
        <v>36</v>
      </c>
      <c r="N99" s="2">
        <v>44572</v>
      </c>
      <c r="O99" s="5">
        <v>499.98</v>
      </c>
    </row>
    <row r="100" spans="2:15" ht="15" thickBot="1" x14ac:dyDescent="0.4">
      <c r="B100" s="4" t="s">
        <v>229</v>
      </c>
      <c r="C100" s="2">
        <v>45532</v>
      </c>
      <c r="D100" s="1" t="s">
        <v>196</v>
      </c>
      <c r="E100" s="1" t="s">
        <v>197</v>
      </c>
      <c r="F100" s="1" t="s">
        <v>80</v>
      </c>
      <c r="G100" s="1" t="s">
        <v>81</v>
      </c>
      <c r="H100" s="1" t="s">
        <v>19</v>
      </c>
      <c r="I100" s="3">
        <v>1</v>
      </c>
      <c r="J100" s="3">
        <v>699.99</v>
      </c>
      <c r="K100" s="1" t="s">
        <v>20</v>
      </c>
      <c r="L100" s="1" t="s">
        <v>21</v>
      </c>
      <c r="M100" s="1" t="s">
        <v>27</v>
      </c>
      <c r="N100" s="2">
        <v>44497</v>
      </c>
      <c r="O100" s="5">
        <v>699.99</v>
      </c>
    </row>
    <row r="101" spans="2:15" ht="15" thickBot="1" x14ac:dyDescent="0.4">
      <c r="B101" s="4" t="s">
        <v>230</v>
      </c>
      <c r="C101" s="2">
        <v>45532</v>
      </c>
      <c r="D101" s="1" t="s">
        <v>231</v>
      </c>
      <c r="E101" s="1" t="s">
        <v>232</v>
      </c>
      <c r="F101" s="1" t="s">
        <v>52</v>
      </c>
      <c r="G101" s="1" t="s">
        <v>53</v>
      </c>
      <c r="H101" s="1" t="s">
        <v>19</v>
      </c>
      <c r="I101" s="3">
        <v>3</v>
      </c>
      <c r="J101" s="3">
        <v>149.99</v>
      </c>
      <c r="K101" s="1" t="s">
        <v>20</v>
      </c>
      <c r="L101" s="1" t="s">
        <v>50</v>
      </c>
      <c r="M101" s="1" t="s">
        <v>27</v>
      </c>
      <c r="N101" s="2">
        <v>45212</v>
      </c>
      <c r="O101" s="5">
        <v>449.97</v>
      </c>
    </row>
    <row r="102" spans="2:15" ht="15" thickBot="1" x14ac:dyDescent="0.4">
      <c r="B102" s="4" t="s">
        <v>233</v>
      </c>
      <c r="C102" s="2">
        <v>45534</v>
      </c>
      <c r="D102" s="1" t="s">
        <v>234</v>
      </c>
      <c r="E102" s="1" t="s">
        <v>235</v>
      </c>
      <c r="F102" s="1" t="s">
        <v>80</v>
      </c>
      <c r="G102" s="1" t="s">
        <v>81</v>
      </c>
      <c r="H102" s="1" t="s">
        <v>19</v>
      </c>
      <c r="I102" s="3">
        <v>2</v>
      </c>
      <c r="J102" s="3">
        <v>699.99</v>
      </c>
      <c r="K102" s="1" t="s">
        <v>26</v>
      </c>
      <c r="L102" s="1" t="s">
        <v>40</v>
      </c>
      <c r="M102" s="1" t="s">
        <v>27</v>
      </c>
      <c r="N102" s="2">
        <v>44421</v>
      </c>
      <c r="O102" s="5">
        <v>1399.98</v>
      </c>
    </row>
    <row r="103" spans="2:15" ht="15" thickBot="1" x14ac:dyDescent="0.4">
      <c r="B103" s="4" t="s">
        <v>236</v>
      </c>
      <c r="C103" s="2">
        <v>45537</v>
      </c>
      <c r="D103" s="1" t="s">
        <v>231</v>
      </c>
      <c r="E103" s="1" t="s">
        <v>232</v>
      </c>
      <c r="F103" s="1" t="s">
        <v>17</v>
      </c>
      <c r="G103" s="1" t="s">
        <v>18</v>
      </c>
      <c r="H103" s="1" t="s">
        <v>19</v>
      </c>
      <c r="I103" s="3">
        <v>1</v>
      </c>
      <c r="J103" s="3">
        <v>249.99</v>
      </c>
      <c r="K103" s="1" t="s">
        <v>26</v>
      </c>
      <c r="L103" s="1" t="s">
        <v>50</v>
      </c>
      <c r="M103" s="1" t="s">
        <v>27</v>
      </c>
      <c r="N103" s="2">
        <v>44685</v>
      </c>
      <c r="O103" s="5">
        <v>249.99</v>
      </c>
    </row>
    <row r="104" spans="2:15" ht="15" thickBot="1" x14ac:dyDescent="0.4">
      <c r="B104" s="4" t="s">
        <v>237</v>
      </c>
      <c r="C104" s="2">
        <v>45537</v>
      </c>
      <c r="D104" s="1" t="s">
        <v>15</v>
      </c>
      <c r="E104" s="1" t="s">
        <v>16</v>
      </c>
      <c r="F104" s="1" t="s">
        <v>17</v>
      </c>
      <c r="G104" s="1" t="s">
        <v>18</v>
      </c>
      <c r="H104" s="1" t="s">
        <v>19</v>
      </c>
      <c r="I104" s="3">
        <v>1</v>
      </c>
      <c r="J104" s="3">
        <v>249.99</v>
      </c>
      <c r="K104" s="1" t="s">
        <v>57</v>
      </c>
      <c r="L104" s="1" t="s">
        <v>40</v>
      </c>
      <c r="M104" s="1" t="s">
        <v>27</v>
      </c>
      <c r="N104" s="2">
        <v>45332</v>
      </c>
      <c r="O104" s="5">
        <v>249.99</v>
      </c>
    </row>
    <row r="105" spans="2:15" ht="15" thickBot="1" x14ac:dyDescent="0.4">
      <c r="B105" s="4" t="s">
        <v>238</v>
      </c>
      <c r="C105" s="2">
        <v>45538</v>
      </c>
      <c r="D105" s="1" t="s">
        <v>226</v>
      </c>
      <c r="E105" s="1" t="s">
        <v>227</v>
      </c>
      <c r="F105" s="1" t="s">
        <v>80</v>
      </c>
      <c r="G105" s="1" t="s">
        <v>81</v>
      </c>
      <c r="H105" s="1" t="s">
        <v>19</v>
      </c>
      <c r="I105" s="3">
        <v>2</v>
      </c>
      <c r="J105" s="3">
        <v>699.99</v>
      </c>
      <c r="K105" s="1" t="s">
        <v>57</v>
      </c>
      <c r="L105" s="1" t="s">
        <v>21</v>
      </c>
      <c r="M105" s="1" t="s">
        <v>27</v>
      </c>
      <c r="N105" s="2">
        <v>44870</v>
      </c>
      <c r="O105" s="5">
        <v>1399.98</v>
      </c>
    </row>
    <row r="106" spans="2:15" ht="15" thickBot="1" x14ac:dyDescent="0.4">
      <c r="B106" s="4" t="s">
        <v>239</v>
      </c>
      <c r="C106" s="2">
        <v>45541</v>
      </c>
      <c r="D106" s="1" t="s">
        <v>138</v>
      </c>
      <c r="E106" s="1" t="s">
        <v>139</v>
      </c>
      <c r="F106" s="1" t="s">
        <v>31</v>
      </c>
      <c r="G106" s="1" t="s">
        <v>32</v>
      </c>
      <c r="H106" s="1" t="s">
        <v>33</v>
      </c>
      <c r="I106" s="3">
        <v>3</v>
      </c>
      <c r="J106" s="3">
        <v>59.99</v>
      </c>
      <c r="K106" s="1" t="s">
        <v>26</v>
      </c>
      <c r="L106" s="1" t="s">
        <v>21</v>
      </c>
      <c r="M106" s="1" t="s">
        <v>27</v>
      </c>
      <c r="N106" s="2">
        <v>44717</v>
      </c>
      <c r="O106" s="5">
        <v>179.97</v>
      </c>
    </row>
    <row r="107" spans="2:15" ht="15" thickBot="1" x14ac:dyDescent="0.4">
      <c r="B107" s="4" t="s">
        <v>240</v>
      </c>
      <c r="C107" s="2">
        <v>45544</v>
      </c>
      <c r="D107" s="1" t="s">
        <v>132</v>
      </c>
      <c r="E107" s="1" t="s">
        <v>133</v>
      </c>
      <c r="F107" s="1" t="s">
        <v>31</v>
      </c>
      <c r="G107" s="1" t="s">
        <v>32</v>
      </c>
      <c r="H107" s="1" t="s">
        <v>33</v>
      </c>
      <c r="I107" s="3">
        <v>3</v>
      </c>
      <c r="J107" s="3">
        <v>59.99</v>
      </c>
      <c r="K107" s="1" t="s">
        <v>34</v>
      </c>
      <c r="L107" s="1" t="s">
        <v>63</v>
      </c>
      <c r="M107" s="1" t="s">
        <v>36</v>
      </c>
      <c r="N107" s="2">
        <v>44748</v>
      </c>
      <c r="O107" s="5">
        <v>179.97</v>
      </c>
    </row>
    <row r="108" spans="2:15" ht="15" thickBot="1" x14ac:dyDescent="0.4">
      <c r="B108" s="4" t="s">
        <v>241</v>
      </c>
      <c r="C108" s="2">
        <v>45544</v>
      </c>
      <c r="D108" s="1" t="s">
        <v>141</v>
      </c>
      <c r="E108" s="1" t="s">
        <v>142</v>
      </c>
      <c r="F108" s="1" t="s">
        <v>114</v>
      </c>
      <c r="G108" s="1" t="s">
        <v>115</v>
      </c>
      <c r="H108" s="1" t="s">
        <v>33</v>
      </c>
      <c r="I108" s="3">
        <v>4</v>
      </c>
      <c r="J108" s="3">
        <v>79.989999999999995</v>
      </c>
      <c r="K108" s="1" t="s">
        <v>20</v>
      </c>
      <c r="L108" s="1" t="s">
        <v>40</v>
      </c>
      <c r="M108" s="1" t="s">
        <v>22</v>
      </c>
      <c r="N108" s="2">
        <v>44530</v>
      </c>
      <c r="O108" s="5">
        <v>319.95999999999998</v>
      </c>
    </row>
    <row r="109" spans="2:15" ht="15" thickBot="1" x14ac:dyDescent="0.4">
      <c r="B109" s="4" t="s">
        <v>242</v>
      </c>
      <c r="C109" s="2">
        <v>45545</v>
      </c>
      <c r="D109" s="1" t="s">
        <v>55</v>
      </c>
      <c r="E109" s="1" t="s">
        <v>56</v>
      </c>
      <c r="F109" s="1" t="s">
        <v>114</v>
      </c>
      <c r="G109" s="1" t="s">
        <v>115</v>
      </c>
      <c r="H109" s="1" t="s">
        <v>33</v>
      </c>
      <c r="I109" s="3">
        <v>1</v>
      </c>
      <c r="J109" s="3">
        <v>79.989999999999995</v>
      </c>
      <c r="K109" s="1" t="s">
        <v>20</v>
      </c>
      <c r="L109" s="1" t="s">
        <v>50</v>
      </c>
      <c r="M109" s="1" t="s">
        <v>22</v>
      </c>
      <c r="N109" s="2">
        <v>44693</v>
      </c>
      <c r="O109" s="5">
        <v>79.989999999999995</v>
      </c>
    </row>
    <row r="110" spans="2:15" ht="15" thickBot="1" x14ac:dyDescent="0.4">
      <c r="B110" s="4" t="s">
        <v>243</v>
      </c>
      <c r="C110" s="2">
        <v>45547</v>
      </c>
      <c r="D110" s="1" t="s">
        <v>48</v>
      </c>
      <c r="E110" s="1" t="s">
        <v>49</v>
      </c>
      <c r="F110" s="1" t="s">
        <v>105</v>
      </c>
      <c r="G110" s="1" t="s">
        <v>106</v>
      </c>
      <c r="H110" s="1" t="s">
        <v>46</v>
      </c>
      <c r="I110" s="3">
        <v>3</v>
      </c>
      <c r="J110" s="3">
        <v>299.99</v>
      </c>
      <c r="K110" s="1" t="s">
        <v>26</v>
      </c>
      <c r="L110" s="1" t="s">
        <v>21</v>
      </c>
      <c r="M110" s="1" t="s">
        <v>27</v>
      </c>
      <c r="N110" s="2">
        <v>44494</v>
      </c>
      <c r="O110" s="5">
        <v>899.97</v>
      </c>
    </row>
    <row r="111" spans="2:15" ht="16" customHeight="1" thickBot="1" x14ac:dyDescent="0.4">
      <c r="B111" s="4" t="s">
        <v>244</v>
      </c>
      <c r="C111" s="2">
        <v>45548</v>
      </c>
      <c r="D111" s="1" t="s">
        <v>38</v>
      </c>
      <c r="E111" s="1" t="s">
        <v>39</v>
      </c>
      <c r="F111" s="1" t="s">
        <v>117</v>
      </c>
      <c r="G111" s="1" t="s">
        <v>118</v>
      </c>
      <c r="H111" s="1" t="s">
        <v>19</v>
      </c>
      <c r="I111" s="3">
        <v>2</v>
      </c>
      <c r="J111" s="3">
        <v>89.99</v>
      </c>
      <c r="K111" s="1" t="s">
        <v>26</v>
      </c>
      <c r="L111" s="1" t="s">
        <v>35</v>
      </c>
      <c r="M111" s="1" t="s">
        <v>27</v>
      </c>
      <c r="N111" s="2">
        <v>44641</v>
      </c>
      <c r="O111" s="5">
        <v>179.98</v>
      </c>
    </row>
    <row r="112" spans="2:15" ht="15" thickBot="1" x14ac:dyDescent="0.4">
      <c r="B112" s="4" t="s">
        <v>245</v>
      </c>
      <c r="C112" s="2">
        <v>45550</v>
      </c>
      <c r="D112" s="1" t="s">
        <v>246</v>
      </c>
      <c r="E112" s="1" t="s">
        <v>247</v>
      </c>
      <c r="F112" s="1" t="s">
        <v>52</v>
      </c>
      <c r="G112" s="1" t="s">
        <v>53</v>
      </c>
      <c r="H112" s="1" t="s">
        <v>19</v>
      </c>
      <c r="I112" s="3">
        <v>4</v>
      </c>
      <c r="J112" s="3">
        <v>149.99</v>
      </c>
      <c r="K112" s="1" t="s">
        <v>20</v>
      </c>
      <c r="L112" s="1" t="s">
        <v>40</v>
      </c>
      <c r="M112" s="1" t="s">
        <v>22</v>
      </c>
      <c r="N112" s="2">
        <v>44909</v>
      </c>
      <c r="O112" s="5">
        <v>599.96</v>
      </c>
    </row>
    <row r="113" spans="2:15" ht="15" thickBot="1" x14ac:dyDescent="0.4">
      <c r="B113" s="4" t="s">
        <v>248</v>
      </c>
      <c r="C113" s="2">
        <v>45551</v>
      </c>
      <c r="D113" s="1" t="s">
        <v>65</v>
      </c>
      <c r="E113" s="1" t="s">
        <v>66</v>
      </c>
      <c r="F113" s="1" t="s">
        <v>17</v>
      </c>
      <c r="G113" s="1" t="s">
        <v>18</v>
      </c>
      <c r="H113" s="1" t="s">
        <v>19</v>
      </c>
      <c r="I113" s="3">
        <v>2</v>
      </c>
      <c r="J113" s="3">
        <v>249.99</v>
      </c>
      <c r="K113" s="1" t="s">
        <v>34</v>
      </c>
      <c r="L113" s="1" t="s">
        <v>35</v>
      </c>
      <c r="M113" s="1" t="s">
        <v>22</v>
      </c>
      <c r="N113" s="2">
        <v>44993</v>
      </c>
      <c r="O113" s="5">
        <v>499.98</v>
      </c>
    </row>
    <row r="114" spans="2:15" ht="15" thickBot="1" x14ac:dyDescent="0.4">
      <c r="B114" s="4" t="s">
        <v>249</v>
      </c>
      <c r="C114" s="2">
        <v>45551</v>
      </c>
      <c r="D114" s="1" t="s">
        <v>154</v>
      </c>
      <c r="E114" s="1" t="s">
        <v>155</v>
      </c>
      <c r="F114" s="1" t="s">
        <v>126</v>
      </c>
      <c r="G114" s="1" t="s">
        <v>127</v>
      </c>
      <c r="H114" s="1" t="s">
        <v>46</v>
      </c>
      <c r="I114" s="3">
        <v>4</v>
      </c>
      <c r="J114" s="3">
        <v>199.99</v>
      </c>
      <c r="K114" s="1" t="s">
        <v>57</v>
      </c>
      <c r="L114" s="1" t="s">
        <v>63</v>
      </c>
      <c r="M114" s="1" t="s">
        <v>22</v>
      </c>
      <c r="N114" s="2">
        <v>44458</v>
      </c>
      <c r="O114" s="5">
        <v>799.96</v>
      </c>
    </row>
    <row r="115" spans="2:15" ht="15" thickBot="1" x14ac:dyDescent="0.4">
      <c r="B115" s="4" t="s">
        <v>250</v>
      </c>
      <c r="C115" s="2">
        <v>45554</v>
      </c>
      <c r="D115" s="1" t="s">
        <v>147</v>
      </c>
      <c r="E115" s="1" t="s">
        <v>148</v>
      </c>
      <c r="F115" s="1" t="s">
        <v>117</v>
      </c>
      <c r="G115" s="1" t="s">
        <v>118</v>
      </c>
      <c r="H115" s="1" t="s">
        <v>19</v>
      </c>
      <c r="I115" s="3">
        <v>5</v>
      </c>
      <c r="J115" s="3">
        <v>89.99</v>
      </c>
      <c r="K115" s="1" t="s">
        <v>26</v>
      </c>
      <c r="L115" s="1" t="s">
        <v>63</v>
      </c>
      <c r="M115" s="1" t="s">
        <v>27</v>
      </c>
      <c r="N115" s="2">
        <v>44446</v>
      </c>
      <c r="O115" s="5">
        <v>449.95</v>
      </c>
    </row>
    <row r="116" spans="2:15" ht="15" thickBot="1" x14ac:dyDescent="0.4">
      <c r="B116" s="4" t="s">
        <v>251</v>
      </c>
      <c r="C116" s="2">
        <v>45554</v>
      </c>
      <c r="D116" s="1" t="s">
        <v>252</v>
      </c>
      <c r="E116" s="1" t="s">
        <v>253</v>
      </c>
      <c r="F116" s="1" t="s">
        <v>52</v>
      </c>
      <c r="G116" s="1" t="s">
        <v>53</v>
      </c>
      <c r="H116" s="1" t="s">
        <v>19</v>
      </c>
      <c r="I116" s="3">
        <v>1</v>
      </c>
      <c r="J116" s="3">
        <v>149.99</v>
      </c>
      <c r="K116" s="1" t="s">
        <v>34</v>
      </c>
      <c r="L116" s="1" t="s">
        <v>63</v>
      </c>
      <c r="M116" s="1" t="s">
        <v>36</v>
      </c>
      <c r="N116" s="2">
        <v>44482</v>
      </c>
      <c r="O116" s="5">
        <v>149.99</v>
      </c>
    </row>
    <row r="117" spans="2:15" ht="15" thickBot="1" x14ac:dyDescent="0.4">
      <c r="B117" s="4" t="s">
        <v>254</v>
      </c>
      <c r="C117" s="2">
        <v>45554</v>
      </c>
      <c r="D117" s="1" t="s">
        <v>72</v>
      </c>
      <c r="E117" s="1" t="s">
        <v>73</v>
      </c>
      <c r="F117" s="1" t="s">
        <v>80</v>
      </c>
      <c r="G117" s="1" t="s">
        <v>81</v>
      </c>
      <c r="H117" s="1" t="s">
        <v>19</v>
      </c>
      <c r="I117" s="3">
        <v>4</v>
      </c>
      <c r="J117" s="3">
        <v>699.99</v>
      </c>
      <c r="K117" s="1" t="s">
        <v>34</v>
      </c>
      <c r="L117" s="1" t="s">
        <v>35</v>
      </c>
      <c r="M117" s="1" t="s">
        <v>22</v>
      </c>
      <c r="N117" s="2">
        <v>44618</v>
      </c>
      <c r="O117" s="5">
        <v>2799.96</v>
      </c>
    </row>
    <row r="118" spans="2:15" ht="15" thickBot="1" x14ac:dyDescent="0.4">
      <c r="B118" s="4" t="s">
        <v>255</v>
      </c>
      <c r="C118" s="2">
        <v>45559</v>
      </c>
      <c r="D118" s="1" t="s">
        <v>234</v>
      </c>
      <c r="E118" s="1" t="s">
        <v>235</v>
      </c>
      <c r="F118" s="1" t="s">
        <v>61</v>
      </c>
      <c r="G118" s="1" t="s">
        <v>62</v>
      </c>
      <c r="H118" s="1" t="s">
        <v>19</v>
      </c>
      <c r="I118" s="3">
        <v>3</v>
      </c>
      <c r="J118" s="3">
        <v>899.99</v>
      </c>
      <c r="K118" s="1" t="s">
        <v>26</v>
      </c>
      <c r="L118" s="1" t="s">
        <v>40</v>
      </c>
      <c r="M118" s="1" t="s">
        <v>36</v>
      </c>
      <c r="N118" s="2">
        <v>45157</v>
      </c>
      <c r="O118" s="5">
        <v>2699.97</v>
      </c>
    </row>
    <row r="119" spans="2:15" ht="15" thickBot="1" x14ac:dyDescent="0.4">
      <c r="B119" s="4" t="s">
        <v>256</v>
      </c>
      <c r="C119" s="2">
        <v>45560</v>
      </c>
      <c r="D119" s="1" t="s">
        <v>112</v>
      </c>
      <c r="E119" s="1" t="s">
        <v>113</v>
      </c>
      <c r="F119" s="1" t="s">
        <v>44</v>
      </c>
      <c r="G119" s="1" t="s">
        <v>45</v>
      </c>
      <c r="H119" s="1" t="s">
        <v>46</v>
      </c>
      <c r="I119" s="3">
        <v>3</v>
      </c>
      <c r="J119" s="3">
        <v>149.99</v>
      </c>
      <c r="K119" s="1" t="s">
        <v>34</v>
      </c>
      <c r="L119" s="1" t="s">
        <v>63</v>
      </c>
      <c r="M119" s="1" t="s">
        <v>22</v>
      </c>
      <c r="N119" s="2">
        <v>44886</v>
      </c>
      <c r="O119" s="5">
        <v>449.97</v>
      </c>
    </row>
    <row r="120" spans="2:15" ht="15" thickBot="1" x14ac:dyDescent="0.4">
      <c r="B120" s="4" t="s">
        <v>257</v>
      </c>
      <c r="C120" s="2">
        <v>45563</v>
      </c>
      <c r="D120" s="1" t="s">
        <v>99</v>
      </c>
      <c r="E120" s="1" t="s">
        <v>100</v>
      </c>
      <c r="F120" s="1" t="s">
        <v>105</v>
      </c>
      <c r="G120" s="1" t="s">
        <v>106</v>
      </c>
      <c r="H120" s="1" t="s">
        <v>46</v>
      </c>
      <c r="I120" s="3">
        <v>2</v>
      </c>
      <c r="J120" s="3">
        <v>299.99</v>
      </c>
      <c r="K120" s="1" t="s">
        <v>57</v>
      </c>
      <c r="L120" s="1" t="s">
        <v>21</v>
      </c>
      <c r="M120" s="1" t="s">
        <v>22</v>
      </c>
      <c r="N120" s="2">
        <v>44569</v>
      </c>
      <c r="O120" s="5">
        <v>599.98</v>
      </c>
    </row>
    <row r="121" spans="2:15" ht="15" thickBot="1" x14ac:dyDescent="0.4">
      <c r="B121" s="4" t="s">
        <v>258</v>
      </c>
      <c r="C121" s="2">
        <v>45564</v>
      </c>
      <c r="D121" s="1" t="s">
        <v>259</v>
      </c>
      <c r="E121" s="1" t="s">
        <v>260</v>
      </c>
      <c r="F121" s="1" t="s">
        <v>126</v>
      </c>
      <c r="G121" s="1" t="s">
        <v>127</v>
      </c>
      <c r="H121" s="1" t="s">
        <v>46</v>
      </c>
      <c r="I121" s="3">
        <v>1</v>
      </c>
      <c r="J121" s="3">
        <v>199.99</v>
      </c>
      <c r="K121" s="1" t="s">
        <v>57</v>
      </c>
      <c r="L121" s="1" t="s">
        <v>63</v>
      </c>
      <c r="M121" s="1" t="s">
        <v>36</v>
      </c>
      <c r="N121" s="2">
        <v>44953</v>
      </c>
      <c r="O121" s="5">
        <v>199.99</v>
      </c>
    </row>
    <row r="122" spans="2:15" ht="15" thickBot="1" x14ac:dyDescent="0.4">
      <c r="B122" s="4" t="s">
        <v>261</v>
      </c>
      <c r="C122" s="2">
        <v>45566</v>
      </c>
      <c r="D122" s="1" t="s">
        <v>42</v>
      </c>
      <c r="E122" s="1" t="s">
        <v>43</v>
      </c>
      <c r="F122" s="1" t="s">
        <v>105</v>
      </c>
      <c r="G122" s="1" t="s">
        <v>106</v>
      </c>
      <c r="H122" s="1" t="s">
        <v>46</v>
      </c>
      <c r="I122" s="3">
        <v>4</v>
      </c>
      <c r="J122" s="3">
        <v>299.99</v>
      </c>
      <c r="K122" s="1" t="s">
        <v>20</v>
      </c>
      <c r="L122" s="1" t="s">
        <v>21</v>
      </c>
      <c r="M122" s="1" t="s">
        <v>27</v>
      </c>
      <c r="N122" s="2">
        <v>44460</v>
      </c>
      <c r="O122" s="5">
        <v>1199.96</v>
      </c>
    </row>
    <row r="123" spans="2:15" ht="15" thickBot="1" x14ac:dyDescent="0.4">
      <c r="B123" s="4" t="s">
        <v>262</v>
      </c>
      <c r="C123" s="2">
        <v>45572</v>
      </c>
      <c r="D123" s="1" t="s">
        <v>89</v>
      </c>
      <c r="E123" s="1" t="s">
        <v>90</v>
      </c>
      <c r="F123" s="1" t="s">
        <v>31</v>
      </c>
      <c r="G123" s="1" t="s">
        <v>32</v>
      </c>
      <c r="H123" s="1" t="s">
        <v>33</v>
      </c>
      <c r="I123" s="3">
        <v>2</v>
      </c>
      <c r="J123" s="3">
        <v>59.99</v>
      </c>
      <c r="K123" s="1" t="s">
        <v>26</v>
      </c>
      <c r="L123" s="1" t="s">
        <v>21</v>
      </c>
      <c r="M123" s="1" t="s">
        <v>22</v>
      </c>
      <c r="N123" s="2">
        <v>44579</v>
      </c>
      <c r="O123" s="5">
        <v>119.98</v>
      </c>
    </row>
    <row r="124" spans="2:15" ht="15" thickBot="1" x14ac:dyDescent="0.4">
      <c r="B124" s="4" t="s">
        <v>263</v>
      </c>
      <c r="C124" s="2">
        <v>45572</v>
      </c>
      <c r="D124" s="1" t="s">
        <v>234</v>
      </c>
      <c r="E124" s="1" t="s">
        <v>235</v>
      </c>
      <c r="F124" s="1" t="s">
        <v>52</v>
      </c>
      <c r="G124" s="1" t="s">
        <v>53</v>
      </c>
      <c r="H124" s="1" t="s">
        <v>19</v>
      </c>
      <c r="I124" s="3">
        <v>4</v>
      </c>
      <c r="J124" s="3">
        <v>149.99</v>
      </c>
      <c r="K124" s="1" t="s">
        <v>26</v>
      </c>
      <c r="L124" s="1" t="s">
        <v>40</v>
      </c>
      <c r="M124" s="1" t="s">
        <v>27</v>
      </c>
      <c r="N124" s="2">
        <v>45076</v>
      </c>
      <c r="O124" s="5">
        <v>599.96</v>
      </c>
    </row>
    <row r="125" spans="2:15" ht="15" thickBot="1" x14ac:dyDescent="0.4">
      <c r="B125" s="4" t="s">
        <v>264</v>
      </c>
      <c r="C125" s="2">
        <v>45573</v>
      </c>
      <c r="D125" s="1" t="s">
        <v>211</v>
      </c>
      <c r="E125" s="1" t="s">
        <v>212</v>
      </c>
      <c r="F125" s="1" t="s">
        <v>80</v>
      </c>
      <c r="G125" s="1" t="s">
        <v>81</v>
      </c>
      <c r="H125" s="1" t="s">
        <v>19</v>
      </c>
      <c r="I125" s="3">
        <v>2</v>
      </c>
      <c r="J125" s="3">
        <v>699.99</v>
      </c>
      <c r="K125" s="1" t="s">
        <v>57</v>
      </c>
      <c r="L125" s="1" t="s">
        <v>63</v>
      </c>
      <c r="M125" s="1" t="s">
        <v>27</v>
      </c>
      <c r="N125" s="2">
        <v>45274</v>
      </c>
      <c r="O125" s="5">
        <v>1399.98</v>
      </c>
    </row>
    <row r="126" spans="2:15" ht="15" thickBot="1" x14ac:dyDescent="0.4">
      <c r="B126" s="4" t="s">
        <v>265</v>
      </c>
      <c r="C126" s="2">
        <v>45573</v>
      </c>
      <c r="D126" s="1" t="s">
        <v>231</v>
      </c>
      <c r="E126" s="1" t="s">
        <v>232</v>
      </c>
      <c r="F126" s="1" t="s">
        <v>44</v>
      </c>
      <c r="G126" s="1" t="s">
        <v>45</v>
      </c>
      <c r="H126" s="1" t="s">
        <v>46</v>
      </c>
      <c r="I126" s="3">
        <v>3</v>
      </c>
      <c r="J126" s="3">
        <v>149.99</v>
      </c>
      <c r="K126" s="1" t="s">
        <v>26</v>
      </c>
      <c r="L126" s="1" t="s">
        <v>35</v>
      </c>
      <c r="M126" s="1" t="s">
        <v>36</v>
      </c>
      <c r="N126" s="2">
        <v>44940</v>
      </c>
      <c r="O126" s="5">
        <v>449.97</v>
      </c>
    </row>
    <row r="127" spans="2:15" ht="15" thickBot="1" x14ac:dyDescent="0.4">
      <c r="B127" s="4" t="s">
        <v>266</v>
      </c>
      <c r="C127" s="2">
        <v>45576</v>
      </c>
      <c r="D127" s="1" t="s">
        <v>147</v>
      </c>
      <c r="E127" s="1" t="s">
        <v>148</v>
      </c>
      <c r="F127" s="1" t="s">
        <v>105</v>
      </c>
      <c r="G127" s="1" t="s">
        <v>106</v>
      </c>
      <c r="H127" s="1" t="s">
        <v>46</v>
      </c>
      <c r="I127" s="3">
        <v>3</v>
      </c>
      <c r="J127" s="3">
        <v>299.99</v>
      </c>
      <c r="K127" s="1" t="s">
        <v>26</v>
      </c>
      <c r="L127" s="1" t="s">
        <v>21</v>
      </c>
      <c r="M127" s="1" t="s">
        <v>36</v>
      </c>
      <c r="N127" s="2">
        <v>45174</v>
      </c>
      <c r="O127" s="5">
        <v>899.97</v>
      </c>
    </row>
    <row r="128" spans="2:15" ht="15" thickBot="1" x14ac:dyDescent="0.4">
      <c r="B128" s="4" t="s">
        <v>267</v>
      </c>
      <c r="C128" s="2">
        <v>45579</v>
      </c>
      <c r="D128" s="1" t="s">
        <v>83</v>
      </c>
      <c r="E128" s="1" t="s">
        <v>84</v>
      </c>
      <c r="F128" s="1" t="s">
        <v>61</v>
      </c>
      <c r="G128" s="1" t="s">
        <v>62</v>
      </c>
      <c r="H128" s="1" t="s">
        <v>19</v>
      </c>
      <c r="I128" s="3">
        <v>3</v>
      </c>
      <c r="J128" s="3">
        <v>899.99</v>
      </c>
      <c r="K128" s="1" t="s">
        <v>34</v>
      </c>
      <c r="L128" s="1" t="s">
        <v>50</v>
      </c>
      <c r="M128" s="1" t="s">
        <v>22</v>
      </c>
      <c r="N128" s="2">
        <v>45215</v>
      </c>
      <c r="O128" s="5">
        <v>2699.97</v>
      </c>
    </row>
    <row r="129" spans="2:15" ht="15" thickBot="1" x14ac:dyDescent="0.4">
      <c r="B129" s="4" t="s">
        <v>268</v>
      </c>
      <c r="C129" s="2">
        <v>45581</v>
      </c>
      <c r="D129" s="1" t="s">
        <v>96</v>
      </c>
      <c r="E129" s="1" t="s">
        <v>97</v>
      </c>
      <c r="F129" s="1" t="s">
        <v>80</v>
      </c>
      <c r="G129" s="1" t="s">
        <v>81</v>
      </c>
      <c r="H129" s="1" t="s">
        <v>19</v>
      </c>
      <c r="I129" s="3">
        <v>5</v>
      </c>
      <c r="J129" s="3">
        <v>699.99</v>
      </c>
      <c r="K129" s="1" t="s">
        <v>20</v>
      </c>
      <c r="L129" s="1" t="s">
        <v>63</v>
      </c>
      <c r="M129" s="1" t="s">
        <v>36</v>
      </c>
      <c r="N129" s="2">
        <v>45008</v>
      </c>
      <c r="O129" s="5">
        <v>3499.95</v>
      </c>
    </row>
    <row r="130" spans="2:15" ht="15" thickBot="1" x14ac:dyDescent="0.4">
      <c r="B130" s="4" t="s">
        <v>269</v>
      </c>
      <c r="C130" s="2">
        <v>45581</v>
      </c>
      <c r="D130" s="1" t="s">
        <v>171</v>
      </c>
      <c r="E130" s="1" t="s">
        <v>172</v>
      </c>
      <c r="F130" s="1" t="s">
        <v>80</v>
      </c>
      <c r="G130" s="1" t="s">
        <v>81</v>
      </c>
      <c r="H130" s="1" t="s">
        <v>19</v>
      </c>
      <c r="I130" s="3">
        <v>4</v>
      </c>
      <c r="J130" s="3">
        <v>699.99</v>
      </c>
      <c r="K130" s="1" t="s">
        <v>26</v>
      </c>
      <c r="L130" s="1" t="s">
        <v>21</v>
      </c>
      <c r="M130" s="1" t="s">
        <v>22</v>
      </c>
      <c r="N130" s="2">
        <v>45385</v>
      </c>
      <c r="O130" s="5">
        <v>2799.96</v>
      </c>
    </row>
    <row r="131" spans="2:15" ht="15" thickBot="1" x14ac:dyDescent="0.4">
      <c r="B131" s="4" t="s">
        <v>270</v>
      </c>
      <c r="C131" s="2">
        <v>45581</v>
      </c>
      <c r="D131" s="1" t="s">
        <v>150</v>
      </c>
      <c r="E131" s="1" t="s">
        <v>151</v>
      </c>
      <c r="F131" s="1" t="s">
        <v>61</v>
      </c>
      <c r="G131" s="1" t="s">
        <v>62</v>
      </c>
      <c r="H131" s="1" t="s">
        <v>19</v>
      </c>
      <c r="I131" s="3">
        <v>1</v>
      </c>
      <c r="J131" s="3">
        <v>899.99</v>
      </c>
      <c r="K131" s="1" t="s">
        <v>26</v>
      </c>
      <c r="L131" s="1" t="s">
        <v>63</v>
      </c>
      <c r="M131" s="1" t="s">
        <v>36</v>
      </c>
      <c r="N131" s="2">
        <v>45369</v>
      </c>
      <c r="O131" s="5">
        <v>899.99</v>
      </c>
    </row>
    <row r="132" spans="2:15" ht="15" thickBot="1" x14ac:dyDescent="0.4">
      <c r="B132" s="4" t="s">
        <v>271</v>
      </c>
      <c r="C132" s="2">
        <v>45583</v>
      </c>
      <c r="D132" s="1" t="s">
        <v>226</v>
      </c>
      <c r="E132" s="1" t="s">
        <v>227</v>
      </c>
      <c r="F132" s="1" t="s">
        <v>52</v>
      </c>
      <c r="G132" s="1" t="s">
        <v>53</v>
      </c>
      <c r="H132" s="1" t="s">
        <v>19</v>
      </c>
      <c r="I132" s="3">
        <v>2</v>
      </c>
      <c r="J132" s="3">
        <v>149.99</v>
      </c>
      <c r="K132" s="1" t="s">
        <v>26</v>
      </c>
      <c r="L132" s="1" t="s">
        <v>50</v>
      </c>
      <c r="M132" s="1" t="s">
        <v>22</v>
      </c>
      <c r="N132" s="2">
        <v>44916</v>
      </c>
      <c r="O132" s="5">
        <v>299.98</v>
      </c>
    </row>
    <row r="133" spans="2:15" ht="15" thickBot="1" x14ac:dyDescent="0.4">
      <c r="B133" s="4" t="s">
        <v>272</v>
      </c>
      <c r="C133" s="2">
        <v>45586</v>
      </c>
      <c r="D133" s="1" t="s">
        <v>226</v>
      </c>
      <c r="E133" s="1" t="s">
        <v>227</v>
      </c>
      <c r="F133" s="1" t="s">
        <v>117</v>
      </c>
      <c r="G133" s="1" t="s">
        <v>118</v>
      </c>
      <c r="H133" s="1" t="s">
        <v>19</v>
      </c>
      <c r="I133" s="3">
        <v>3</v>
      </c>
      <c r="J133" s="3">
        <v>89.99</v>
      </c>
      <c r="K133" s="1" t="s">
        <v>34</v>
      </c>
      <c r="L133" s="1" t="s">
        <v>21</v>
      </c>
      <c r="M133" s="1" t="s">
        <v>22</v>
      </c>
      <c r="N133" s="2">
        <v>44551</v>
      </c>
      <c r="O133" s="5">
        <v>269.97000000000003</v>
      </c>
    </row>
    <row r="134" spans="2:15" ht="16" customHeight="1" thickBot="1" x14ac:dyDescent="0.4">
      <c r="B134" s="4" t="s">
        <v>273</v>
      </c>
      <c r="C134" s="2">
        <v>45588</v>
      </c>
      <c r="D134" s="1" t="s">
        <v>38</v>
      </c>
      <c r="E134" s="1" t="s">
        <v>39</v>
      </c>
      <c r="F134" s="1" t="s">
        <v>52</v>
      </c>
      <c r="G134" s="1" t="s">
        <v>53</v>
      </c>
      <c r="H134" s="1" t="s">
        <v>19</v>
      </c>
      <c r="I134" s="3">
        <v>2</v>
      </c>
      <c r="J134" s="3">
        <v>149.99</v>
      </c>
      <c r="K134" s="1" t="s">
        <v>34</v>
      </c>
      <c r="L134" s="1" t="s">
        <v>21</v>
      </c>
      <c r="M134" s="1" t="s">
        <v>22</v>
      </c>
      <c r="N134" s="2">
        <v>44473</v>
      </c>
      <c r="O134" s="5">
        <v>299.98</v>
      </c>
    </row>
    <row r="135" spans="2:15" ht="15" thickBot="1" x14ac:dyDescent="0.4">
      <c r="B135" s="4" t="s">
        <v>274</v>
      </c>
      <c r="C135" s="2">
        <v>45588</v>
      </c>
      <c r="D135" s="1" t="s">
        <v>154</v>
      </c>
      <c r="E135" s="1" t="s">
        <v>155</v>
      </c>
      <c r="F135" s="1" t="s">
        <v>80</v>
      </c>
      <c r="G135" s="1" t="s">
        <v>81</v>
      </c>
      <c r="H135" s="1" t="s">
        <v>19</v>
      </c>
      <c r="I135" s="3">
        <v>2</v>
      </c>
      <c r="J135" s="3">
        <v>699.99</v>
      </c>
      <c r="K135" s="1" t="s">
        <v>20</v>
      </c>
      <c r="L135" s="1" t="s">
        <v>21</v>
      </c>
      <c r="M135" s="1" t="s">
        <v>22</v>
      </c>
      <c r="N135" s="2">
        <v>44992</v>
      </c>
      <c r="O135" s="5">
        <v>1399.98</v>
      </c>
    </row>
    <row r="136" spans="2:15" ht="15" thickBot="1" x14ac:dyDescent="0.4">
      <c r="B136" s="4" t="s">
        <v>275</v>
      </c>
      <c r="C136" s="2">
        <v>45589</v>
      </c>
      <c r="D136" s="1" t="s">
        <v>158</v>
      </c>
      <c r="E136" s="1" t="s">
        <v>159</v>
      </c>
      <c r="F136" s="1" t="s">
        <v>80</v>
      </c>
      <c r="G136" s="1" t="s">
        <v>81</v>
      </c>
      <c r="H136" s="1" t="s">
        <v>19</v>
      </c>
      <c r="I136" s="3">
        <v>5</v>
      </c>
      <c r="J136" s="3">
        <v>699.99</v>
      </c>
      <c r="K136" s="1" t="s">
        <v>20</v>
      </c>
      <c r="L136" s="1" t="s">
        <v>40</v>
      </c>
      <c r="M136" s="1" t="s">
        <v>27</v>
      </c>
      <c r="N136" s="2">
        <v>44635</v>
      </c>
      <c r="O136" s="5">
        <v>3499.95</v>
      </c>
    </row>
    <row r="137" spans="2:15" ht="15" thickBot="1" x14ac:dyDescent="0.4">
      <c r="B137" s="4" t="s">
        <v>276</v>
      </c>
      <c r="C137" s="2">
        <v>45592</v>
      </c>
      <c r="D137" s="1" t="s">
        <v>171</v>
      </c>
      <c r="E137" s="1" t="s">
        <v>172</v>
      </c>
      <c r="F137" s="1" t="s">
        <v>117</v>
      </c>
      <c r="G137" s="1" t="s">
        <v>118</v>
      </c>
      <c r="H137" s="1" t="s">
        <v>19</v>
      </c>
      <c r="I137" s="3">
        <v>3</v>
      </c>
      <c r="J137" s="3">
        <v>89.99</v>
      </c>
      <c r="K137" s="1" t="s">
        <v>26</v>
      </c>
      <c r="L137" s="1" t="s">
        <v>40</v>
      </c>
      <c r="M137" s="1" t="s">
        <v>36</v>
      </c>
      <c r="N137" s="2">
        <v>44615</v>
      </c>
      <c r="O137" s="5">
        <v>269.97000000000003</v>
      </c>
    </row>
    <row r="138" spans="2:15" ht="15" thickBot="1" x14ac:dyDescent="0.4">
      <c r="B138" s="4" t="s">
        <v>277</v>
      </c>
      <c r="C138" s="2">
        <v>45597</v>
      </c>
      <c r="D138" s="1" t="s">
        <v>15</v>
      </c>
      <c r="E138" s="1" t="s">
        <v>16</v>
      </c>
      <c r="F138" s="1" t="s">
        <v>17</v>
      </c>
      <c r="G138" s="1" t="s">
        <v>18</v>
      </c>
      <c r="H138" s="1" t="s">
        <v>19</v>
      </c>
      <c r="I138" s="3">
        <v>5</v>
      </c>
      <c r="J138" s="3">
        <v>249.99</v>
      </c>
      <c r="K138" s="1" t="s">
        <v>26</v>
      </c>
      <c r="L138" s="1" t="s">
        <v>35</v>
      </c>
      <c r="M138" s="1" t="s">
        <v>36</v>
      </c>
      <c r="N138" s="2">
        <v>44881</v>
      </c>
      <c r="O138" s="5">
        <v>1249.95</v>
      </c>
    </row>
    <row r="139" spans="2:15" ht="15" thickBot="1" x14ac:dyDescent="0.4">
      <c r="B139" s="4" t="s">
        <v>278</v>
      </c>
      <c r="C139" s="2">
        <v>45600</v>
      </c>
      <c r="D139" s="1" t="s">
        <v>65</v>
      </c>
      <c r="E139" s="1" t="s">
        <v>66</v>
      </c>
      <c r="F139" s="1" t="s">
        <v>105</v>
      </c>
      <c r="G139" s="1" t="s">
        <v>106</v>
      </c>
      <c r="H139" s="1" t="s">
        <v>46</v>
      </c>
      <c r="I139" s="3">
        <v>3</v>
      </c>
      <c r="J139" s="3">
        <v>299.99</v>
      </c>
      <c r="K139" s="1" t="s">
        <v>26</v>
      </c>
      <c r="L139" s="1" t="s">
        <v>35</v>
      </c>
      <c r="M139" s="1" t="s">
        <v>36</v>
      </c>
      <c r="N139" s="2">
        <v>44502</v>
      </c>
      <c r="O139" s="5">
        <v>899.97</v>
      </c>
    </row>
    <row r="140" spans="2:15" ht="15" thickBot="1" x14ac:dyDescent="0.4">
      <c r="B140" s="4" t="s">
        <v>279</v>
      </c>
      <c r="C140" s="2">
        <v>45603</v>
      </c>
      <c r="D140" s="1" t="s">
        <v>99</v>
      </c>
      <c r="E140" s="1" t="s">
        <v>100</v>
      </c>
      <c r="F140" s="1" t="s">
        <v>117</v>
      </c>
      <c r="G140" s="1" t="s">
        <v>118</v>
      </c>
      <c r="H140" s="1" t="s">
        <v>19</v>
      </c>
      <c r="I140" s="3">
        <v>3</v>
      </c>
      <c r="J140" s="3">
        <v>89.99</v>
      </c>
      <c r="K140" s="1" t="s">
        <v>26</v>
      </c>
      <c r="L140" s="1" t="s">
        <v>40</v>
      </c>
      <c r="M140" s="1" t="s">
        <v>27</v>
      </c>
      <c r="N140" s="2">
        <v>44420</v>
      </c>
      <c r="O140" s="5">
        <v>269.97000000000003</v>
      </c>
    </row>
    <row r="141" spans="2:15" ht="15" thickBot="1" x14ac:dyDescent="0.4">
      <c r="B141" s="4" t="s">
        <v>280</v>
      </c>
      <c r="C141" s="2">
        <v>45604</v>
      </c>
      <c r="D141" s="1" t="s">
        <v>89</v>
      </c>
      <c r="E141" s="1" t="s">
        <v>90</v>
      </c>
      <c r="F141" s="1" t="s">
        <v>44</v>
      </c>
      <c r="G141" s="1" t="s">
        <v>45</v>
      </c>
      <c r="H141" s="1" t="s">
        <v>46</v>
      </c>
      <c r="I141" s="3">
        <v>2</v>
      </c>
      <c r="J141" s="3">
        <v>149.99</v>
      </c>
      <c r="K141" s="1" t="s">
        <v>26</v>
      </c>
      <c r="L141" s="1" t="s">
        <v>50</v>
      </c>
      <c r="M141" s="1" t="s">
        <v>27</v>
      </c>
      <c r="N141" s="2">
        <v>44848</v>
      </c>
      <c r="O141" s="5">
        <v>299.98</v>
      </c>
    </row>
    <row r="142" spans="2:15" ht="15" thickBot="1" x14ac:dyDescent="0.4">
      <c r="B142" s="4" t="s">
        <v>281</v>
      </c>
      <c r="C142" s="2">
        <v>45605</v>
      </c>
      <c r="D142" s="1" t="s">
        <v>185</v>
      </c>
      <c r="E142" s="1" t="s">
        <v>186</v>
      </c>
      <c r="F142" s="1" t="s">
        <v>17</v>
      </c>
      <c r="G142" s="1" t="s">
        <v>18</v>
      </c>
      <c r="H142" s="1" t="s">
        <v>19</v>
      </c>
      <c r="I142" s="3">
        <v>1</v>
      </c>
      <c r="J142" s="3">
        <v>249.99</v>
      </c>
      <c r="K142" s="1" t="s">
        <v>26</v>
      </c>
      <c r="L142" s="1" t="s">
        <v>40</v>
      </c>
      <c r="M142" s="1" t="s">
        <v>27</v>
      </c>
      <c r="N142" s="2">
        <v>44828</v>
      </c>
      <c r="O142" s="5">
        <v>249.99</v>
      </c>
    </row>
    <row r="143" spans="2:15" ht="15" thickBot="1" x14ac:dyDescent="0.4">
      <c r="B143" s="4" t="s">
        <v>282</v>
      </c>
      <c r="C143" s="2">
        <v>45607</v>
      </c>
      <c r="D143" s="1" t="s">
        <v>72</v>
      </c>
      <c r="E143" s="1" t="s">
        <v>73</v>
      </c>
      <c r="F143" s="1" t="s">
        <v>52</v>
      </c>
      <c r="G143" s="1" t="s">
        <v>53</v>
      </c>
      <c r="H143" s="1" t="s">
        <v>19</v>
      </c>
      <c r="I143" s="3">
        <v>3</v>
      </c>
      <c r="J143" s="3">
        <v>149.99</v>
      </c>
      <c r="K143" s="1" t="s">
        <v>20</v>
      </c>
      <c r="L143" s="1" t="s">
        <v>40</v>
      </c>
      <c r="M143" s="1" t="s">
        <v>22</v>
      </c>
      <c r="N143" s="2">
        <v>44769</v>
      </c>
      <c r="O143" s="5">
        <v>449.97</v>
      </c>
    </row>
    <row r="144" spans="2:15" ht="15" thickBot="1" x14ac:dyDescent="0.4">
      <c r="B144" s="4" t="s">
        <v>283</v>
      </c>
      <c r="C144" s="2">
        <v>45607</v>
      </c>
      <c r="D144" s="1" t="s">
        <v>15</v>
      </c>
      <c r="E144" s="1" t="s">
        <v>16</v>
      </c>
      <c r="F144" s="1" t="s">
        <v>31</v>
      </c>
      <c r="G144" s="1" t="s">
        <v>32</v>
      </c>
      <c r="H144" s="1" t="s">
        <v>33</v>
      </c>
      <c r="I144" s="3">
        <v>5</v>
      </c>
      <c r="J144" s="3">
        <v>59.99</v>
      </c>
      <c r="K144" s="1" t="s">
        <v>34</v>
      </c>
      <c r="L144" s="1" t="s">
        <v>50</v>
      </c>
      <c r="M144" s="1" t="s">
        <v>27</v>
      </c>
      <c r="N144" s="2">
        <v>44694</v>
      </c>
      <c r="O144" s="5">
        <v>299.95</v>
      </c>
    </row>
    <row r="145" spans="2:15" ht="15" thickBot="1" x14ac:dyDescent="0.4">
      <c r="B145" s="4" t="s">
        <v>284</v>
      </c>
      <c r="C145" s="2">
        <v>45607</v>
      </c>
      <c r="D145" s="1" t="s">
        <v>99</v>
      </c>
      <c r="E145" s="1" t="s">
        <v>100</v>
      </c>
      <c r="F145" s="1" t="s">
        <v>17</v>
      </c>
      <c r="G145" s="1" t="s">
        <v>18</v>
      </c>
      <c r="H145" s="1" t="s">
        <v>19</v>
      </c>
      <c r="I145" s="3">
        <v>4</v>
      </c>
      <c r="J145" s="3">
        <v>249.99</v>
      </c>
      <c r="K145" s="1" t="s">
        <v>26</v>
      </c>
      <c r="L145" s="1" t="s">
        <v>50</v>
      </c>
      <c r="M145" s="1" t="s">
        <v>36</v>
      </c>
      <c r="N145" s="2">
        <v>44659</v>
      </c>
      <c r="O145" s="5">
        <v>999.96</v>
      </c>
    </row>
    <row r="146" spans="2:15" ht="15" thickBot="1" x14ac:dyDescent="0.4">
      <c r="B146" s="4" t="s">
        <v>285</v>
      </c>
      <c r="C146" s="2">
        <v>45608</v>
      </c>
      <c r="D146" s="1" t="s">
        <v>154</v>
      </c>
      <c r="E146" s="1" t="s">
        <v>155</v>
      </c>
      <c r="F146" s="1" t="s">
        <v>44</v>
      </c>
      <c r="G146" s="1" t="s">
        <v>45</v>
      </c>
      <c r="H146" s="1" t="s">
        <v>46</v>
      </c>
      <c r="I146" s="3">
        <v>5</v>
      </c>
      <c r="J146" s="3">
        <v>149.99</v>
      </c>
      <c r="K146" s="1" t="s">
        <v>34</v>
      </c>
      <c r="L146" s="1" t="s">
        <v>21</v>
      </c>
      <c r="M146" s="1" t="s">
        <v>22</v>
      </c>
      <c r="N146" s="2">
        <v>44901</v>
      </c>
      <c r="O146" s="5">
        <v>749.95</v>
      </c>
    </row>
    <row r="147" spans="2:15" ht="15" thickBot="1" x14ac:dyDescent="0.4">
      <c r="B147" s="4" t="s">
        <v>286</v>
      </c>
      <c r="C147" s="2">
        <v>45608</v>
      </c>
      <c r="D147" s="1" t="s">
        <v>83</v>
      </c>
      <c r="E147" s="1" t="s">
        <v>84</v>
      </c>
      <c r="F147" s="1" t="s">
        <v>31</v>
      </c>
      <c r="G147" s="1" t="s">
        <v>32</v>
      </c>
      <c r="H147" s="1" t="s">
        <v>33</v>
      </c>
      <c r="I147" s="3">
        <v>3</v>
      </c>
      <c r="J147" s="3">
        <v>59.99</v>
      </c>
      <c r="K147" s="1" t="s">
        <v>57</v>
      </c>
      <c r="L147" s="1" t="s">
        <v>35</v>
      </c>
      <c r="M147" s="1" t="s">
        <v>36</v>
      </c>
      <c r="N147" s="2">
        <v>45260</v>
      </c>
      <c r="O147" s="5">
        <v>179.97</v>
      </c>
    </row>
    <row r="148" spans="2:15" ht="15" thickBot="1" x14ac:dyDescent="0.4">
      <c r="B148" s="4" t="s">
        <v>287</v>
      </c>
      <c r="C148" s="2">
        <v>45613</v>
      </c>
      <c r="D148" s="1" t="s">
        <v>234</v>
      </c>
      <c r="E148" s="1" t="s">
        <v>235</v>
      </c>
      <c r="F148" s="1" t="s">
        <v>44</v>
      </c>
      <c r="G148" s="1" t="s">
        <v>45</v>
      </c>
      <c r="H148" s="1" t="s">
        <v>46</v>
      </c>
      <c r="I148" s="3">
        <v>5</v>
      </c>
      <c r="J148" s="3">
        <v>149.99</v>
      </c>
      <c r="K148" s="1" t="s">
        <v>20</v>
      </c>
      <c r="L148" s="1" t="s">
        <v>40</v>
      </c>
      <c r="M148" s="1" t="s">
        <v>22</v>
      </c>
      <c r="N148" s="2">
        <v>44869</v>
      </c>
      <c r="O148" s="5">
        <v>749.95</v>
      </c>
    </row>
    <row r="149" spans="2:15" ht="15" thickBot="1" x14ac:dyDescent="0.4">
      <c r="B149" s="4" t="s">
        <v>288</v>
      </c>
      <c r="C149" s="2">
        <v>45613</v>
      </c>
      <c r="D149" s="1" t="s">
        <v>86</v>
      </c>
      <c r="E149" s="1" t="s">
        <v>87</v>
      </c>
      <c r="F149" s="1" t="s">
        <v>80</v>
      </c>
      <c r="G149" s="1" t="s">
        <v>81</v>
      </c>
      <c r="H149" s="1" t="s">
        <v>19</v>
      </c>
      <c r="I149" s="3">
        <v>2</v>
      </c>
      <c r="J149" s="3">
        <v>699.99</v>
      </c>
      <c r="K149" s="1" t="s">
        <v>34</v>
      </c>
      <c r="L149" s="1" t="s">
        <v>50</v>
      </c>
      <c r="M149" s="1" t="s">
        <v>36</v>
      </c>
      <c r="N149" s="2">
        <v>44770</v>
      </c>
      <c r="O149" s="5">
        <v>1399.98</v>
      </c>
    </row>
    <row r="150" spans="2:15" ht="15" thickBot="1" x14ac:dyDescent="0.4">
      <c r="B150" s="4" t="s">
        <v>289</v>
      </c>
      <c r="C150" s="2">
        <v>45617</v>
      </c>
      <c r="D150" s="1" t="s">
        <v>123</v>
      </c>
      <c r="E150" s="1" t="s">
        <v>124</v>
      </c>
      <c r="F150" s="1" t="s">
        <v>126</v>
      </c>
      <c r="G150" s="1" t="s">
        <v>127</v>
      </c>
      <c r="H150" s="1" t="s">
        <v>46</v>
      </c>
      <c r="I150" s="3">
        <v>4</v>
      </c>
      <c r="J150" s="3">
        <v>199.99</v>
      </c>
      <c r="K150" s="1" t="s">
        <v>57</v>
      </c>
      <c r="L150" s="1" t="s">
        <v>21</v>
      </c>
      <c r="M150" s="1" t="s">
        <v>27</v>
      </c>
      <c r="N150" s="2">
        <v>44427</v>
      </c>
      <c r="O150" s="5">
        <v>799.96</v>
      </c>
    </row>
    <row r="151" spans="2:15" ht="15" thickBot="1" x14ac:dyDescent="0.4">
      <c r="B151" s="4" t="s">
        <v>290</v>
      </c>
      <c r="C151" s="2">
        <v>45619</v>
      </c>
      <c r="D151" s="1" t="s">
        <v>192</v>
      </c>
      <c r="E151" s="1" t="s">
        <v>193</v>
      </c>
      <c r="F151" s="1" t="s">
        <v>31</v>
      </c>
      <c r="G151" s="1" t="s">
        <v>32</v>
      </c>
      <c r="H151" s="1" t="s">
        <v>33</v>
      </c>
      <c r="I151" s="3">
        <v>1</v>
      </c>
      <c r="J151" s="3">
        <v>59.99</v>
      </c>
      <c r="K151" s="1" t="s">
        <v>57</v>
      </c>
      <c r="L151" s="1" t="s">
        <v>50</v>
      </c>
      <c r="M151" s="1" t="s">
        <v>36</v>
      </c>
      <c r="N151" s="2">
        <v>44560</v>
      </c>
      <c r="O151" s="5">
        <v>59.99</v>
      </c>
    </row>
    <row r="152" spans="2:15" ht="15" thickBot="1" x14ac:dyDescent="0.4">
      <c r="B152" s="4" t="s">
        <v>291</v>
      </c>
      <c r="C152" s="2">
        <v>45619</v>
      </c>
      <c r="D152" s="1" t="s">
        <v>154</v>
      </c>
      <c r="E152" s="1" t="s">
        <v>155</v>
      </c>
      <c r="F152" s="1" t="s">
        <v>80</v>
      </c>
      <c r="G152" s="1" t="s">
        <v>81</v>
      </c>
      <c r="H152" s="1" t="s">
        <v>19</v>
      </c>
      <c r="I152" s="3">
        <v>3</v>
      </c>
      <c r="J152" s="3">
        <v>699.99</v>
      </c>
      <c r="K152" s="1" t="s">
        <v>34</v>
      </c>
      <c r="L152" s="1" t="s">
        <v>50</v>
      </c>
      <c r="M152" s="1" t="s">
        <v>36</v>
      </c>
      <c r="N152" s="2">
        <v>44583</v>
      </c>
      <c r="O152" s="5">
        <v>2099.9699999999998</v>
      </c>
    </row>
    <row r="153" spans="2:15" ht="15" thickBot="1" x14ac:dyDescent="0.4">
      <c r="B153" s="4" t="s">
        <v>292</v>
      </c>
      <c r="C153" s="2">
        <v>45622</v>
      </c>
      <c r="D153" s="1" t="s">
        <v>293</v>
      </c>
      <c r="E153" s="1" t="s">
        <v>294</v>
      </c>
      <c r="F153" s="1" t="s">
        <v>17</v>
      </c>
      <c r="G153" s="1" t="s">
        <v>18</v>
      </c>
      <c r="H153" s="1" t="s">
        <v>19</v>
      </c>
      <c r="I153" s="3">
        <v>5</v>
      </c>
      <c r="J153" s="3">
        <v>249.99</v>
      </c>
      <c r="K153" s="1" t="s">
        <v>26</v>
      </c>
      <c r="L153" s="1" t="s">
        <v>40</v>
      </c>
      <c r="M153" s="1" t="s">
        <v>22</v>
      </c>
      <c r="N153" s="2">
        <v>44873</v>
      </c>
      <c r="O153" s="5">
        <v>1249.95</v>
      </c>
    </row>
    <row r="154" spans="2:15" ht="15" thickBot="1" x14ac:dyDescent="0.4">
      <c r="B154" s="4" t="s">
        <v>295</v>
      </c>
      <c r="C154" s="2">
        <v>45623</v>
      </c>
      <c r="D154" s="1" t="s">
        <v>112</v>
      </c>
      <c r="E154" s="1" t="s">
        <v>113</v>
      </c>
      <c r="F154" s="1" t="s">
        <v>44</v>
      </c>
      <c r="G154" s="1" t="s">
        <v>45</v>
      </c>
      <c r="H154" s="1" t="s">
        <v>46</v>
      </c>
      <c r="I154" s="3">
        <v>2</v>
      </c>
      <c r="J154" s="3">
        <v>149.99</v>
      </c>
      <c r="K154" s="1" t="s">
        <v>20</v>
      </c>
      <c r="L154" s="1" t="s">
        <v>35</v>
      </c>
      <c r="M154" s="1" t="s">
        <v>36</v>
      </c>
      <c r="N154" s="2">
        <v>45101</v>
      </c>
      <c r="O154" s="5">
        <v>299.98</v>
      </c>
    </row>
    <row r="155" spans="2:15" ht="15" thickBot="1" x14ac:dyDescent="0.4">
      <c r="B155" s="4" t="s">
        <v>296</v>
      </c>
      <c r="C155" s="2">
        <v>45627</v>
      </c>
      <c r="D155" s="1" t="s">
        <v>29</v>
      </c>
      <c r="E155" s="1" t="s">
        <v>30</v>
      </c>
      <c r="F155" s="1" t="s">
        <v>105</v>
      </c>
      <c r="G155" s="1" t="s">
        <v>106</v>
      </c>
      <c r="H155" s="1" t="s">
        <v>46</v>
      </c>
      <c r="I155" s="3">
        <v>3</v>
      </c>
      <c r="J155" s="3">
        <v>299.99</v>
      </c>
      <c r="K155" s="1" t="s">
        <v>20</v>
      </c>
      <c r="L155" s="1" t="s">
        <v>35</v>
      </c>
      <c r="M155" s="1" t="s">
        <v>27</v>
      </c>
      <c r="N155" s="2">
        <v>44659</v>
      </c>
      <c r="O155" s="5">
        <v>899.97</v>
      </c>
    </row>
    <row r="156" spans="2:15" ht="15" thickBot="1" x14ac:dyDescent="0.4">
      <c r="B156" s="4" t="s">
        <v>297</v>
      </c>
      <c r="C156" s="2">
        <v>45627</v>
      </c>
      <c r="D156" s="1" t="s">
        <v>55</v>
      </c>
      <c r="E156" s="1" t="s">
        <v>56</v>
      </c>
      <c r="F156" s="1" t="s">
        <v>17</v>
      </c>
      <c r="G156" s="1" t="s">
        <v>18</v>
      </c>
      <c r="H156" s="1" t="s">
        <v>19</v>
      </c>
      <c r="I156" s="3">
        <v>5</v>
      </c>
      <c r="J156" s="3">
        <v>249.99</v>
      </c>
      <c r="K156" s="1" t="s">
        <v>20</v>
      </c>
      <c r="L156" s="1" t="s">
        <v>21</v>
      </c>
      <c r="M156" s="1" t="s">
        <v>27</v>
      </c>
      <c r="N156" s="2">
        <v>44485</v>
      </c>
      <c r="O156" s="5">
        <v>1249.95</v>
      </c>
    </row>
    <row r="157" spans="2:15" ht="15" thickBot="1" x14ac:dyDescent="0.4">
      <c r="B157" s="4" t="s">
        <v>298</v>
      </c>
      <c r="C157" s="2">
        <v>45627</v>
      </c>
      <c r="D157" s="1" t="s">
        <v>24</v>
      </c>
      <c r="E157" s="1" t="s">
        <v>25</v>
      </c>
      <c r="F157" s="1" t="s">
        <v>52</v>
      </c>
      <c r="G157" s="1" t="s">
        <v>53</v>
      </c>
      <c r="H157" s="1" t="s">
        <v>19</v>
      </c>
      <c r="I157" s="3">
        <v>2</v>
      </c>
      <c r="J157" s="3">
        <v>149.99</v>
      </c>
      <c r="K157" s="1" t="s">
        <v>20</v>
      </c>
      <c r="L157" s="1" t="s">
        <v>35</v>
      </c>
      <c r="M157" s="1" t="s">
        <v>27</v>
      </c>
      <c r="N157" s="2">
        <v>44475</v>
      </c>
      <c r="O157" s="5">
        <v>299.98</v>
      </c>
    </row>
    <row r="158" spans="2:15" ht="15" thickBot="1" x14ac:dyDescent="0.4">
      <c r="B158" s="4" t="s">
        <v>299</v>
      </c>
      <c r="C158" s="2">
        <v>45627</v>
      </c>
      <c r="D158" s="1" t="s">
        <v>86</v>
      </c>
      <c r="E158" s="1" t="s">
        <v>87</v>
      </c>
      <c r="F158" s="1" t="s">
        <v>80</v>
      </c>
      <c r="G158" s="1" t="s">
        <v>81</v>
      </c>
      <c r="H158" s="1" t="s">
        <v>19</v>
      </c>
      <c r="I158" s="3">
        <v>5</v>
      </c>
      <c r="J158" s="3">
        <v>699.99</v>
      </c>
      <c r="K158" s="1" t="s">
        <v>57</v>
      </c>
      <c r="L158" s="1" t="s">
        <v>50</v>
      </c>
      <c r="M158" s="1" t="s">
        <v>36</v>
      </c>
      <c r="N158" s="2">
        <v>44944</v>
      </c>
      <c r="O158" s="5">
        <v>3499.95</v>
      </c>
    </row>
    <row r="159" spans="2:15" ht="15" thickBot="1" x14ac:dyDescent="0.4">
      <c r="B159" s="4" t="s">
        <v>300</v>
      </c>
      <c r="C159" s="2">
        <v>45629</v>
      </c>
      <c r="D159" s="1" t="s">
        <v>252</v>
      </c>
      <c r="E159" s="1" t="s">
        <v>253</v>
      </c>
      <c r="F159" s="1" t="s">
        <v>17</v>
      </c>
      <c r="G159" s="1" t="s">
        <v>18</v>
      </c>
      <c r="H159" s="1" t="s">
        <v>19</v>
      </c>
      <c r="I159" s="3">
        <v>4</v>
      </c>
      <c r="J159" s="3">
        <v>249.99</v>
      </c>
      <c r="K159" s="1" t="s">
        <v>34</v>
      </c>
      <c r="L159" s="1" t="s">
        <v>63</v>
      </c>
      <c r="M159" s="1" t="s">
        <v>27</v>
      </c>
      <c r="N159" s="2">
        <v>45098</v>
      </c>
      <c r="O159" s="5">
        <v>999.96</v>
      </c>
    </row>
    <row r="160" spans="2:15" ht="15" thickBot="1" x14ac:dyDescent="0.4">
      <c r="B160" s="4" t="s">
        <v>301</v>
      </c>
      <c r="C160" s="2">
        <v>45630</v>
      </c>
      <c r="D160" s="1" t="s">
        <v>48</v>
      </c>
      <c r="E160" s="1" t="s">
        <v>49</v>
      </c>
      <c r="F160" s="1" t="s">
        <v>80</v>
      </c>
      <c r="G160" s="1" t="s">
        <v>81</v>
      </c>
      <c r="H160" s="1" t="s">
        <v>19</v>
      </c>
      <c r="I160" s="3">
        <v>4</v>
      </c>
      <c r="J160" s="3">
        <v>699.99</v>
      </c>
      <c r="K160" s="1" t="s">
        <v>26</v>
      </c>
      <c r="L160" s="1" t="s">
        <v>40</v>
      </c>
      <c r="M160" s="1" t="s">
        <v>27</v>
      </c>
      <c r="N160" s="2">
        <v>44703</v>
      </c>
      <c r="O160" s="5">
        <v>2799.96</v>
      </c>
    </row>
    <row r="161" spans="2:15" ht="15" thickBot="1" x14ac:dyDescent="0.4">
      <c r="B161" s="4" t="s">
        <v>302</v>
      </c>
      <c r="C161" s="2">
        <v>45635</v>
      </c>
      <c r="D161" s="1" t="s">
        <v>108</v>
      </c>
      <c r="E161" s="1" t="s">
        <v>109</v>
      </c>
      <c r="F161" s="1" t="s">
        <v>17</v>
      </c>
      <c r="G161" s="1" t="s">
        <v>18</v>
      </c>
      <c r="H161" s="1" t="s">
        <v>19</v>
      </c>
      <c r="I161" s="3">
        <v>2</v>
      </c>
      <c r="J161" s="3">
        <v>249.99</v>
      </c>
      <c r="K161" s="1" t="s">
        <v>26</v>
      </c>
      <c r="L161" s="1" t="s">
        <v>21</v>
      </c>
      <c r="M161" s="1" t="s">
        <v>27</v>
      </c>
      <c r="N161" s="2">
        <v>44396</v>
      </c>
      <c r="O161" s="5">
        <v>499.98</v>
      </c>
    </row>
    <row r="162" spans="2:15" ht="15" thickBot="1" x14ac:dyDescent="0.4">
      <c r="B162" s="4" t="s">
        <v>303</v>
      </c>
      <c r="C162" s="2">
        <v>45635</v>
      </c>
      <c r="D162" s="1" t="s">
        <v>304</v>
      </c>
      <c r="E162" s="1" t="s">
        <v>305</v>
      </c>
      <c r="F162" s="1" t="s">
        <v>31</v>
      </c>
      <c r="G162" s="1" t="s">
        <v>32</v>
      </c>
      <c r="H162" s="1" t="s">
        <v>33</v>
      </c>
      <c r="I162" s="3">
        <v>3</v>
      </c>
      <c r="J162" s="3">
        <v>59.99</v>
      </c>
      <c r="K162" s="1" t="s">
        <v>20</v>
      </c>
      <c r="L162" s="1" t="s">
        <v>21</v>
      </c>
      <c r="M162" s="1" t="s">
        <v>27</v>
      </c>
      <c r="N162" s="2">
        <v>45052</v>
      </c>
      <c r="O162" s="5">
        <v>179.97</v>
      </c>
    </row>
    <row r="163" spans="2:15" ht="15" thickBot="1" x14ac:dyDescent="0.4">
      <c r="B163" s="4" t="s">
        <v>306</v>
      </c>
      <c r="C163" s="2">
        <v>45635</v>
      </c>
      <c r="D163" s="1" t="s">
        <v>141</v>
      </c>
      <c r="E163" s="1" t="s">
        <v>142</v>
      </c>
      <c r="F163" s="1" t="s">
        <v>114</v>
      </c>
      <c r="G163" s="1" t="s">
        <v>115</v>
      </c>
      <c r="H163" s="1" t="s">
        <v>33</v>
      </c>
      <c r="I163" s="3">
        <v>4</v>
      </c>
      <c r="J163" s="3">
        <v>79.989999999999995</v>
      </c>
      <c r="K163" s="1" t="s">
        <v>57</v>
      </c>
      <c r="L163" s="1" t="s">
        <v>63</v>
      </c>
      <c r="M163" s="1" t="s">
        <v>36</v>
      </c>
      <c r="N163" s="2">
        <v>44921</v>
      </c>
      <c r="O163" s="5">
        <v>319.95999999999998</v>
      </c>
    </row>
    <row r="164" spans="2:15" ht="15" thickBot="1" x14ac:dyDescent="0.4">
      <c r="B164" s="4" t="s">
        <v>307</v>
      </c>
      <c r="C164" s="2">
        <v>45636</v>
      </c>
      <c r="D164" s="1" t="s">
        <v>120</v>
      </c>
      <c r="E164" s="1" t="s">
        <v>121</v>
      </c>
      <c r="F164" s="1" t="s">
        <v>114</v>
      </c>
      <c r="G164" s="1" t="s">
        <v>115</v>
      </c>
      <c r="H164" s="1" t="s">
        <v>33</v>
      </c>
      <c r="I164" s="3">
        <v>3</v>
      </c>
      <c r="J164" s="3">
        <v>79.989999999999995</v>
      </c>
      <c r="K164" s="1" t="s">
        <v>57</v>
      </c>
      <c r="L164" s="1" t="s">
        <v>63</v>
      </c>
      <c r="M164" s="1" t="s">
        <v>36</v>
      </c>
      <c r="N164" s="2">
        <v>44779</v>
      </c>
      <c r="O164" s="5">
        <v>239.97</v>
      </c>
    </row>
    <row r="165" spans="2:15" ht="15" thickBot="1" x14ac:dyDescent="0.4">
      <c r="B165" s="4" t="s">
        <v>308</v>
      </c>
      <c r="C165" s="2">
        <v>45638</v>
      </c>
      <c r="D165" s="1" t="s">
        <v>72</v>
      </c>
      <c r="E165" s="1" t="s">
        <v>73</v>
      </c>
      <c r="F165" s="1" t="s">
        <v>61</v>
      </c>
      <c r="G165" s="1" t="s">
        <v>62</v>
      </c>
      <c r="H165" s="1" t="s">
        <v>19</v>
      </c>
      <c r="I165" s="3">
        <v>2</v>
      </c>
      <c r="J165" s="3">
        <v>899.99</v>
      </c>
      <c r="K165" s="1" t="s">
        <v>20</v>
      </c>
      <c r="L165" s="1" t="s">
        <v>40</v>
      </c>
      <c r="M165" s="1" t="s">
        <v>22</v>
      </c>
      <c r="N165" s="2">
        <v>44406</v>
      </c>
      <c r="O165" s="5">
        <v>1799.98</v>
      </c>
    </row>
    <row r="166" spans="2:15" ht="15" thickBot="1" x14ac:dyDescent="0.4">
      <c r="B166" s="4" t="s">
        <v>309</v>
      </c>
      <c r="C166" s="2">
        <v>45641</v>
      </c>
      <c r="D166" s="1" t="s">
        <v>182</v>
      </c>
      <c r="E166" s="1" t="s">
        <v>183</v>
      </c>
      <c r="F166" s="1" t="s">
        <v>44</v>
      </c>
      <c r="G166" s="1" t="s">
        <v>45</v>
      </c>
      <c r="H166" s="1" t="s">
        <v>46</v>
      </c>
      <c r="I166" s="3">
        <v>1</v>
      </c>
      <c r="J166" s="3">
        <v>149.99</v>
      </c>
      <c r="K166" s="1" t="s">
        <v>57</v>
      </c>
      <c r="L166" s="1" t="s">
        <v>63</v>
      </c>
      <c r="M166" s="1" t="s">
        <v>36</v>
      </c>
      <c r="N166" s="2">
        <v>45200</v>
      </c>
      <c r="O166" s="5">
        <v>149.99</v>
      </c>
    </row>
    <row r="167" spans="2:15" ht="15" thickBot="1" x14ac:dyDescent="0.4">
      <c r="B167" s="4" t="s">
        <v>310</v>
      </c>
      <c r="C167" s="2">
        <v>45641</v>
      </c>
      <c r="D167" s="1" t="s">
        <v>138</v>
      </c>
      <c r="E167" s="1" t="s">
        <v>139</v>
      </c>
      <c r="F167" s="1" t="s">
        <v>105</v>
      </c>
      <c r="G167" s="1" t="s">
        <v>106</v>
      </c>
      <c r="H167" s="1" t="s">
        <v>46</v>
      </c>
      <c r="I167" s="3">
        <v>2</v>
      </c>
      <c r="J167" s="3">
        <v>299.99</v>
      </c>
      <c r="K167" s="1" t="s">
        <v>20</v>
      </c>
      <c r="L167" s="1" t="s">
        <v>63</v>
      </c>
      <c r="M167" s="1" t="s">
        <v>27</v>
      </c>
      <c r="N167" s="2">
        <v>44724</v>
      </c>
      <c r="O167" s="5">
        <v>599.98</v>
      </c>
    </row>
    <row r="168" spans="2:15" ht="15" thickBot="1" x14ac:dyDescent="0.4">
      <c r="B168" s="4" t="s">
        <v>311</v>
      </c>
      <c r="C168" s="2">
        <v>45644</v>
      </c>
      <c r="D168" s="1" t="s">
        <v>132</v>
      </c>
      <c r="E168" s="1" t="s">
        <v>133</v>
      </c>
      <c r="F168" s="1" t="s">
        <v>31</v>
      </c>
      <c r="G168" s="1" t="s">
        <v>32</v>
      </c>
      <c r="H168" s="1" t="s">
        <v>33</v>
      </c>
      <c r="I168" s="3">
        <v>2</v>
      </c>
      <c r="J168" s="3">
        <v>59.99</v>
      </c>
      <c r="K168" s="1" t="s">
        <v>20</v>
      </c>
      <c r="L168" s="1" t="s">
        <v>50</v>
      </c>
      <c r="M168" s="1" t="s">
        <v>22</v>
      </c>
      <c r="N168" s="2">
        <v>45191</v>
      </c>
      <c r="O168" s="5">
        <v>119.98</v>
      </c>
    </row>
    <row r="169" spans="2:15" ht="15" thickBot="1" x14ac:dyDescent="0.4">
      <c r="B169" s="4" t="s">
        <v>312</v>
      </c>
      <c r="C169" s="2">
        <v>45645</v>
      </c>
      <c r="D169" s="1" t="s">
        <v>182</v>
      </c>
      <c r="E169" s="1" t="s">
        <v>183</v>
      </c>
      <c r="F169" s="1" t="s">
        <v>117</v>
      </c>
      <c r="G169" s="1" t="s">
        <v>118</v>
      </c>
      <c r="H169" s="1" t="s">
        <v>19</v>
      </c>
      <c r="I169" s="3">
        <v>1</v>
      </c>
      <c r="J169" s="3">
        <v>89.99</v>
      </c>
      <c r="K169" s="1" t="s">
        <v>57</v>
      </c>
      <c r="L169" s="1" t="s">
        <v>21</v>
      </c>
      <c r="M169" s="1" t="s">
        <v>36</v>
      </c>
      <c r="N169" s="2">
        <v>44760</v>
      </c>
      <c r="O169" s="5">
        <v>89.99</v>
      </c>
    </row>
    <row r="170" spans="2:15" ht="15" thickBot="1" x14ac:dyDescent="0.4">
      <c r="B170" s="4" t="s">
        <v>313</v>
      </c>
      <c r="C170" s="2">
        <v>45645</v>
      </c>
      <c r="D170" s="1" t="s">
        <v>147</v>
      </c>
      <c r="E170" s="1" t="s">
        <v>148</v>
      </c>
      <c r="F170" s="1" t="s">
        <v>61</v>
      </c>
      <c r="G170" s="1" t="s">
        <v>62</v>
      </c>
      <c r="H170" s="1" t="s">
        <v>19</v>
      </c>
      <c r="I170" s="3">
        <v>5</v>
      </c>
      <c r="J170" s="3">
        <v>899.99</v>
      </c>
      <c r="K170" s="1" t="s">
        <v>57</v>
      </c>
      <c r="L170" s="1" t="s">
        <v>63</v>
      </c>
      <c r="M170" s="1" t="s">
        <v>36</v>
      </c>
      <c r="N170" s="2">
        <v>44625</v>
      </c>
      <c r="O170" s="5">
        <v>4499.95</v>
      </c>
    </row>
    <row r="171" spans="2:15" ht="15" thickBot="1" x14ac:dyDescent="0.4">
      <c r="B171" s="4" t="s">
        <v>314</v>
      </c>
      <c r="C171" s="2">
        <v>45646</v>
      </c>
      <c r="D171" s="1" t="s">
        <v>42</v>
      </c>
      <c r="E171" s="1" t="s">
        <v>43</v>
      </c>
      <c r="F171" s="1" t="s">
        <v>44</v>
      </c>
      <c r="G171" s="1" t="s">
        <v>45</v>
      </c>
      <c r="H171" s="1" t="s">
        <v>46</v>
      </c>
      <c r="I171" s="3">
        <v>2</v>
      </c>
      <c r="J171" s="3">
        <v>149.99</v>
      </c>
      <c r="K171" s="1" t="s">
        <v>20</v>
      </c>
      <c r="L171" s="1" t="s">
        <v>35</v>
      </c>
      <c r="M171" s="1" t="s">
        <v>22</v>
      </c>
      <c r="N171" s="2">
        <v>45239</v>
      </c>
      <c r="O171" s="5">
        <v>299.98</v>
      </c>
    </row>
    <row r="172" spans="2:15" ht="15" thickBot="1" x14ac:dyDescent="0.4">
      <c r="B172" s="4" t="s">
        <v>315</v>
      </c>
      <c r="C172" s="2">
        <v>45648</v>
      </c>
      <c r="D172" s="1" t="s">
        <v>112</v>
      </c>
      <c r="E172" s="1" t="s">
        <v>113</v>
      </c>
      <c r="F172" s="1" t="s">
        <v>52</v>
      </c>
      <c r="G172" s="1" t="s">
        <v>53</v>
      </c>
      <c r="H172" s="1" t="s">
        <v>19</v>
      </c>
      <c r="I172" s="3">
        <v>2</v>
      </c>
      <c r="J172" s="3">
        <v>149.99</v>
      </c>
      <c r="K172" s="1" t="s">
        <v>57</v>
      </c>
      <c r="L172" s="1" t="s">
        <v>50</v>
      </c>
      <c r="M172" s="1" t="s">
        <v>27</v>
      </c>
      <c r="N172" s="2">
        <v>45280</v>
      </c>
      <c r="O172" s="5">
        <v>299.98</v>
      </c>
    </row>
    <row r="173" spans="2:15" ht="15" thickBot="1" x14ac:dyDescent="0.4">
      <c r="B173" s="4" t="s">
        <v>316</v>
      </c>
      <c r="C173" s="2">
        <v>45648</v>
      </c>
      <c r="D173" s="1" t="s">
        <v>182</v>
      </c>
      <c r="E173" s="1" t="s">
        <v>183</v>
      </c>
      <c r="F173" s="1" t="s">
        <v>44</v>
      </c>
      <c r="G173" s="1" t="s">
        <v>45</v>
      </c>
      <c r="H173" s="1" t="s">
        <v>46</v>
      </c>
      <c r="I173" s="3">
        <v>3</v>
      </c>
      <c r="J173" s="3">
        <v>149.99</v>
      </c>
      <c r="K173" s="1" t="s">
        <v>57</v>
      </c>
      <c r="L173" s="1" t="s">
        <v>40</v>
      </c>
      <c r="M173" s="1" t="s">
        <v>36</v>
      </c>
      <c r="N173" s="2">
        <v>44522</v>
      </c>
      <c r="O173" s="5">
        <v>449.97</v>
      </c>
    </row>
    <row r="174" spans="2:15" ht="15" thickBot="1" x14ac:dyDescent="0.4">
      <c r="B174" s="4" t="s">
        <v>317</v>
      </c>
      <c r="C174" s="2">
        <v>45649</v>
      </c>
      <c r="D174" s="1" t="s">
        <v>29</v>
      </c>
      <c r="E174" s="1" t="s">
        <v>30</v>
      </c>
      <c r="F174" s="1" t="s">
        <v>105</v>
      </c>
      <c r="G174" s="1" t="s">
        <v>106</v>
      </c>
      <c r="H174" s="1" t="s">
        <v>46</v>
      </c>
      <c r="I174" s="3">
        <v>2</v>
      </c>
      <c r="J174" s="3">
        <v>299.99</v>
      </c>
      <c r="K174" s="1" t="s">
        <v>34</v>
      </c>
      <c r="L174" s="1" t="s">
        <v>35</v>
      </c>
      <c r="M174" s="1" t="s">
        <v>22</v>
      </c>
      <c r="N174" s="2">
        <v>44721</v>
      </c>
      <c r="O174" s="5">
        <v>599.98</v>
      </c>
    </row>
    <row r="175" spans="2:15" ht="15" thickBot="1" x14ac:dyDescent="0.4">
      <c r="B175" s="4" t="s">
        <v>318</v>
      </c>
      <c r="C175" s="2">
        <v>45654</v>
      </c>
      <c r="D175" s="1" t="s">
        <v>42</v>
      </c>
      <c r="E175" s="1" t="s">
        <v>43</v>
      </c>
      <c r="F175" s="1" t="s">
        <v>105</v>
      </c>
      <c r="G175" s="1" t="s">
        <v>106</v>
      </c>
      <c r="H175" s="1" t="s">
        <v>46</v>
      </c>
      <c r="I175" s="3">
        <v>2</v>
      </c>
      <c r="J175" s="3">
        <v>299.99</v>
      </c>
      <c r="K175" s="1" t="s">
        <v>20</v>
      </c>
      <c r="L175" s="1" t="s">
        <v>50</v>
      </c>
      <c r="M175" s="1" t="s">
        <v>22</v>
      </c>
      <c r="N175" s="2">
        <v>44771</v>
      </c>
      <c r="O175" s="5">
        <v>599.98</v>
      </c>
    </row>
    <row r="176" spans="2:15" ht="15" thickBot="1" x14ac:dyDescent="0.4">
      <c r="B176" s="4" t="s">
        <v>319</v>
      </c>
      <c r="C176" s="2">
        <v>45654</v>
      </c>
      <c r="D176" s="1" t="s">
        <v>120</v>
      </c>
      <c r="E176" s="1" t="s">
        <v>121</v>
      </c>
      <c r="F176" s="1" t="s">
        <v>126</v>
      </c>
      <c r="G176" s="1" t="s">
        <v>127</v>
      </c>
      <c r="H176" s="1" t="s">
        <v>46</v>
      </c>
      <c r="I176" s="3">
        <v>4</v>
      </c>
      <c r="J176" s="3">
        <v>199.99</v>
      </c>
      <c r="K176" s="1" t="s">
        <v>26</v>
      </c>
      <c r="L176" s="1" t="s">
        <v>21</v>
      </c>
      <c r="M176" s="1" t="s">
        <v>22</v>
      </c>
      <c r="N176" s="2">
        <v>44523</v>
      </c>
      <c r="O176" s="5">
        <v>799.96</v>
      </c>
    </row>
    <row r="177" spans="2:15" ht="15" thickBot="1" x14ac:dyDescent="0.4">
      <c r="B177" s="4" t="s">
        <v>320</v>
      </c>
      <c r="C177" s="2">
        <v>45655</v>
      </c>
      <c r="D177" s="1" t="s">
        <v>59</v>
      </c>
      <c r="E177" s="1" t="s">
        <v>60</v>
      </c>
      <c r="F177" s="1" t="s">
        <v>117</v>
      </c>
      <c r="G177" s="1" t="s">
        <v>118</v>
      </c>
      <c r="H177" s="1" t="s">
        <v>19</v>
      </c>
      <c r="I177" s="3">
        <v>1</v>
      </c>
      <c r="J177" s="3">
        <v>89.99</v>
      </c>
      <c r="K177" s="1" t="s">
        <v>26</v>
      </c>
      <c r="L177" s="1" t="s">
        <v>35</v>
      </c>
      <c r="M177" s="1" t="s">
        <v>27</v>
      </c>
      <c r="N177" s="2">
        <v>44591</v>
      </c>
      <c r="O177" s="5">
        <v>89.99</v>
      </c>
    </row>
    <row r="178" spans="2:15" ht="15" thickBot="1" x14ac:dyDescent="0.4">
      <c r="B178" s="4" t="s">
        <v>321</v>
      </c>
      <c r="C178" s="2">
        <v>45655</v>
      </c>
      <c r="D178" s="1" t="s">
        <v>108</v>
      </c>
      <c r="E178" s="1" t="s">
        <v>109</v>
      </c>
      <c r="F178" s="1" t="s">
        <v>44</v>
      </c>
      <c r="G178" s="1" t="s">
        <v>45</v>
      </c>
      <c r="H178" s="1" t="s">
        <v>46</v>
      </c>
      <c r="I178" s="3">
        <v>5</v>
      </c>
      <c r="J178" s="3">
        <v>149.99</v>
      </c>
      <c r="K178" s="1" t="s">
        <v>20</v>
      </c>
      <c r="L178" s="1" t="s">
        <v>21</v>
      </c>
      <c r="M178" s="1" t="s">
        <v>27</v>
      </c>
      <c r="N178" s="2">
        <v>45347</v>
      </c>
      <c r="O178" s="5">
        <v>749.95</v>
      </c>
    </row>
    <row r="179" spans="2:15" ht="15" thickBot="1" x14ac:dyDescent="0.4">
      <c r="B179" s="4" t="s">
        <v>322</v>
      </c>
      <c r="C179" s="2">
        <v>45657</v>
      </c>
      <c r="D179" s="1" t="s">
        <v>86</v>
      </c>
      <c r="E179" s="1" t="s">
        <v>87</v>
      </c>
      <c r="F179" s="1" t="s">
        <v>61</v>
      </c>
      <c r="G179" s="1" t="s">
        <v>62</v>
      </c>
      <c r="H179" s="1" t="s">
        <v>19</v>
      </c>
      <c r="I179" s="3">
        <v>1</v>
      </c>
      <c r="J179" s="3">
        <v>899.99</v>
      </c>
      <c r="K179" s="1" t="s">
        <v>34</v>
      </c>
      <c r="L179" s="1" t="s">
        <v>40</v>
      </c>
      <c r="M179" s="1" t="s">
        <v>27</v>
      </c>
      <c r="N179" s="2">
        <v>45050</v>
      </c>
      <c r="O179" s="5">
        <v>899.99</v>
      </c>
    </row>
    <row r="180" spans="2:15" ht="15" thickBot="1" x14ac:dyDescent="0.4">
      <c r="B180" s="4" t="s">
        <v>323</v>
      </c>
      <c r="C180" s="2">
        <v>45660</v>
      </c>
      <c r="D180" s="1" t="s">
        <v>147</v>
      </c>
      <c r="E180" s="1" t="s">
        <v>148</v>
      </c>
      <c r="F180" s="1" t="s">
        <v>117</v>
      </c>
      <c r="G180" s="1" t="s">
        <v>118</v>
      </c>
      <c r="H180" s="1" t="s">
        <v>19</v>
      </c>
      <c r="I180" s="3">
        <v>2</v>
      </c>
      <c r="J180" s="3">
        <v>89.99</v>
      </c>
      <c r="K180" s="1" t="s">
        <v>26</v>
      </c>
      <c r="L180" s="1" t="s">
        <v>35</v>
      </c>
      <c r="M180" s="1" t="s">
        <v>27</v>
      </c>
      <c r="N180" s="2">
        <v>44564</v>
      </c>
      <c r="O180" s="5">
        <v>179.98</v>
      </c>
    </row>
    <row r="181" spans="2:15" ht="15" thickBot="1" x14ac:dyDescent="0.4">
      <c r="B181" s="4" t="s">
        <v>324</v>
      </c>
      <c r="C181" s="2">
        <v>45661</v>
      </c>
      <c r="D181" s="1" t="s">
        <v>325</v>
      </c>
      <c r="E181" s="1" t="s">
        <v>326</v>
      </c>
      <c r="F181" s="1" t="s">
        <v>61</v>
      </c>
      <c r="G181" s="1" t="s">
        <v>62</v>
      </c>
      <c r="H181" s="1" t="s">
        <v>19</v>
      </c>
      <c r="I181" s="3">
        <v>1</v>
      </c>
      <c r="J181" s="3">
        <v>899.99</v>
      </c>
      <c r="K181" s="1" t="s">
        <v>34</v>
      </c>
      <c r="L181" s="1" t="s">
        <v>40</v>
      </c>
      <c r="M181" s="1" t="s">
        <v>36</v>
      </c>
      <c r="N181" s="2">
        <v>44752</v>
      </c>
      <c r="O181" s="5">
        <v>899.99</v>
      </c>
    </row>
    <row r="182" spans="2:15" ht="15" thickBot="1" x14ac:dyDescent="0.4">
      <c r="B182" s="4" t="s">
        <v>327</v>
      </c>
      <c r="C182" s="2">
        <v>45663</v>
      </c>
      <c r="D182" s="1" t="s">
        <v>129</v>
      </c>
      <c r="E182" s="1" t="s">
        <v>130</v>
      </c>
      <c r="F182" s="1" t="s">
        <v>52</v>
      </c>
      <c r="G182" s="1" t="s">
        <v>53</v>
      </c>
      <c r="H182" s="1" t="s">
        <v>19</v>
      </c>
      <c r="I182" s="3">
        <v>5</v>
      </c>
      <c r="J182" s="3">
        <v>149.99</v>
      </c>
      <c r="K182" s="1" t="s">
        <v>34</v>
      </c>
      <c r="L182" s="1" t="s">
        <v>63</v>
      </c>
      <c r="M182" s="1" t="s">
        <v>27</v>
      </c>
      <c r="N182" s="2">
        <v>44824</v>
      </c>
      <c r="O182" s="5">
        <v>749.95</v>
      </c>
    </row>
    <row r="183" spans="2:15" ht="15" thickBot="1" x14ac:dyDescent="0.4">
      <c r="B183" s="4" t="s">
        <v>328</v>
      </c>
      <c r="C183" s="2">
        <v>45663</v>
      </c>
      <c r="D183" s="1" t="s">
        <v>42</v>
      </c>
      <c r="E183" s="1" t="s">
        <v>43</v>
      </c>
      <c r="F183" s="1" t="s">
        <v>105</v>
      </c>
      <c r="G183" s="1" t="s">
        <v>106</v>
      </c>
      <c r="H183" s="1" t="s">
        <v>46</v>
      </c>
      <c r="I183" s="3">
        <v>3</v>
      </c>
      <c r="J183" s="3">
        <v>299.99</v>
      </c>
      <c r="K183" s="1" t="s">
        <v>20</v>
      </c>
      <c r="L183" s="1" t="s">
        <v>35</v>
      </c>
      <c r="M183" s="1" t="s">
        <v>36</v>
      </c>
      <c r="N183" s="2">
        <v>44422</v>
      </c>
      <c r="O183" s="5">
        <v>899.97</v>
      </c>
    </row>
    <row r="184" spans="2:15" ht="15" thickBot="1" x14ac:dyDescent="0.4">
      <c r="B184" s="4" t="s">
        <v>329</v>
      </c>
      <c r="C184" s="2">
        <v>45666</v>
      </c>
      <c r="D184" s="1" t="s">
        <v>65</v>
      </c>
      <c r="E184" s="1" t="s">
        <v>66</v>
      </c>
      <c r="F184" s="1" t="s">
        <v>80</v>
      </c>
      <c r="G184" s="1" t="s">
        <v>81</v>
      </c>
      <c r="H184" s="1" t="s">
        <v>19</v>
      </c>
      <c r="I184" s="3">
        <v>3</v>
      </c>
      <c r="J184" s="3">
        <v>699.99</v>
      </c>
      <c r="K184" s="1" t="s">
        <v>26</v>
      </c>
      <c r="L184" s="1" t="s">
        <v>21</v>
      </c>
      <c r="M184" s="1" t="s">
        <v>27</v>
      </c>
      <c r="N184" s="2">
        <v>45105</v>
      </c>
      <c r="O184" s="5">
        <v>2099.9699999999998</v>
      </c>
    </row>
    <row r="185" spans="2:15" ht="15" thickBot="1" x14ac:dyDescent="0.4">
      <c r="B185" s="4" t="s">
        <v>330</v>
      </c>
      <c r="C185" s="2">
        <v>45667</v>
      </c>
      <c r="D185" s="1" t="s">
        <v>108</v>
      </c>
      <c r="E185" s="1" t="s">
        <v>109</v>
      </c>
      <c r="F185" s="1" t="s">
        <v>126</v>
      </c>
      <c r="G185" s="1" t="s">
        <v>127</v>
      </c>
      <c r="H185" s="1" t="s">
        <v>46</v>
      </c>
      <c r="I185" s="3">
        <v>5</v>
      </c>
      <c r="J185" s="3">
        <v>199.99</v>
      </c>
      <c r="K185" s="1" t="s">
        <v>34</v>
      </c>
      <c r="L185" s="1" t="s">
        <v>21</v>
      </c>
      <c r="M185" s="1" t="s">
        <v>36</v>
      </c>
      <c r="N185" s="2">
        <v>44633</v>
      </c>
      <c r="O185" s="5">
        <v>999.95</v>
      </c>
    </row>
    <row r="186" spans="2:15" ht="15" thickBot="1" x14ac:dyDescent="0.4">
      <c r="B186" s="4" t="s">
        <v>331</v>
      </c>
      <c r="C186" s="2">
        <v>45667</v>
      </c>
      <c r="D186" s="1" t="s">
        <v>93</v>
      </c>
      <c r="E186" s="1" t="s">
        <v>94</v>
      </c>
      <c r="F186" s="1" t="s">
        <v>17</v>
      </c>
      <c r="G186" s="1" t="s">
        <v>18</v>
      </c>
      <c r="H186" s="1" t="s">
        <v>19</v>
      </c>
      <c r="I186" s="3">
        <v>5</v>
      </c>
      <c r="J186" s="3">
        <v>249.99</v>
      </c>
      <c r="K186" s="1" t="s">
        <v>26</v>
      </c>
      <c r="L186" s="1" t="s">
        <v>35</v>
      </c>
      <c r="M186" s="1" t="s">
        <v>22</v>
      </c>
      <c r="N186" s="2">
        <v>45330</v>
      </c>
      <c r="O186" s="5">
        <v>1249.95</v>
      </c>
    </row>
    <row r="187" spans="2:15" ht="15" thickBot="1" x14ac:dyDescent="0.4">
      <c r="B187" s="4" t="s">
        <v>332</v>
      </c>
      <c r="C187" s="2">
        <v>45668</v>
      </c>
      <c r="D187" s="1" t="s">
        <v>138</v>
      </c>
      <c r="E187" s="1" t="s">
        <v>139</v>
      </c>
      <c r="F187" s="1" t="s">
        <v>52</v>
      </c>
      <c r="G187" s="1" t="s">
        <v>53</v>
      </c>
      <c r="H187" s="1" t="s">
        <v>19</v>
      </c>
      <c r="I187" s="3">
        <v>4</v>
      </c>
      <c r="J187" s="3">
        <v>149.99</v>
      </c>
      <c r="K187" s="1" t="s">
        <v>57</v>
      </c>
      <c r="L187" s="1" t="s">
        <v>63</v>
      </c>
      <c r="M187" s="1" t="s">
        <v>36</v>
      </c>
      <c r="N187" s="2">
        <v>44536</v>
      </c>
      <c r="O187" s="5">
        <v>599.96</v>
      </c>
    </row>
    <row r="188" spans="2:15" ht="15" thickBot="1" x14ac:dyDescent="0.4">
      <c r="B188" s="4" t="s">
        <v>333</v>
      </c>
      <c r="C188" s="2">
        <v>45668</v>
      </c>
      <c r="D188" s="1" t="s">
        <v>78</v>
      </c>
      <c r="E188" s="1" t="s">
        <v>79</v>
      </c>
      <c r="F188" s="1" t="s">
        <v>80</v>
      </c>
      <c r="G188" s="1" t="s">
        <v>81</v>
      </c>
      <c r="H188" s="1" t="s">
        <v>19</v>
      </c>
      <c r="I188" s="3">
        <v>3</v>
      </c>
      <c r="J188" s="3">
        <v>699.99</v>
      </c>
      <c r="K188" s="1" t="s">
        <v>20</v>
      </c>
      <c r="L188" s="1" t="s">
        <v>40</v>
      </c>
      <c r="M188" s="1" t="s">
        <v>27</v>
      </c>
      <c r="N188" s="2">
        <v>44602</v>
      </c>
      <c r="O188" s="5">
        <v>2099.9699999999998</v>
      </c>
    </row>
    <row r="189" spans="2:15" ht="15" thickBot="1" x14ac:dyDescent="0.4">
      <c r="B189" s="4" t="s">
        <v>334</v>
      </c>
      <c r="C189" s="2">
        <v>45670</v>
      </c>
      <c r="D189" s="1" t="s">
        <v>293</v>
      </c>
      <c r="E189" s="1" t="s">
        <v>294</v>
      </c>
      <c r="F189" s="1" t="s">
        <v>114</v>
      </c>
      <c r="G189" s="1" t="s">
        <v>115</v>
      </c>
      <c r="H189" s="1" t="s">
        <v>33</v>
      </c>
      <c r="I189" s="3">
        <v>1</v>
      </c>
      <c r="J189" s="3">
        <v>79.989999999999995</v>
      </c>
      <c r="K189" s="1" t="s">
        <v>26</v>
      </c>
      <c r="L189" s="1" t="s">
        <v>35</v>
      </c>
      <c r="M189" s="1" t="s">
        <v>22</v>
      </c>
      <c r="N189" s="2">
        <v>45322</v>
      </c>
      <c r="O189" s="5">
        <v>79.989999999999995</v>
      </c>
    </row>
    <row r="190" spans="2:15" ht="15" thickBot="1" x14ac:dyDescent="0.4">
      <c r="B190" s="4" t="s">
        <v>335</v>
      </c>
      <c r="C190" s="2">
        <v>45670</v>
      </c>
      <c r="D190" s="1" t="s">
        <v>86</v>
      </c>
      <c r="E190" s="1" t="s">
        <v>87</v>
      </c>
      <c r="F190" s="1" t="s">
        <v>105</v>
      </c>
      <c r="G190" s="1" t="s">
        <v>106</v>
      </c>
      <c r="H190" s="1" t="s">
        <v>46</v>
      </c>
      <c r="I190" s="3">
        <v>1</v>
      </c>
      <c r="J190" s="3">
        <v>299.99</v>
      </c>
      <c r="K190" s="1" t="s">
        <v>26</v>
      </c>
      <c r="L190" s="1" t="s">
        <v>40</v>
      </c>
      <c r="M190" s="1" t="s">
        <v>22</v>
      </c>
      <c r="N190" s="2">
        <v>44436</v>
      </c>
      <c r="O190" s="5">
        <v>299.99</v>
      </c>
    </row>
    <row r="191" spans="2:15" ht="15" thickBot="1" x14ac:dyDescent="0.4">
      <c r="B191" s="4" t="s">
        <v>336</v>
      </c>
      <c r="C191" s="2">
        <v>45671</v>
      </c>
      <c r="D191" s="1" t="s">
        <v>158</v>
      </c>
      <c r="E191" s="1" t="s">
        <v>159</v>
      </c>
      <c r="F191" s="1" t="s">
        <v>17</v>
      </c>
      <c r="G191" s="1" t="s">
        <v>18</v>
      </c>
      <c r="H191" s="1" t="s">
        <v>19</v>
      </c>
      <c r="I191" s="3">
        <v>4</v>
      </c>
      <c r="J191" s="3">
        <v>249.99</v>
      </c>
      <c r="K191" s="1" t="s">
        <v>26</v>
      </c>
      <c r="L191" s="1" t="s">
        <v>40</v>
      </c>
      <c r="M191" s="1" t="s">
        <v>27</v>
      </c>
      <c r="N191" s="2">
        <v>44460</v>
      </c>
      <c r="O191" s="5">
        <v>999.96</v>
      </c>
    </row>
    <row r="192" spans="2:15" ht="15" thickBot="1" x14ac:dyDescent="0.4">
      <c r="B192" s="4" t="s">
        <v>337</v>
      </c>
      <c r="C192" s="2">
        <v>45671</v>
      </c>
      <c r="D192" s="1" t="s">
        <v>120</v>
      </c>
      <c r="E192" s="1" t="s">
        <v>121</v>
      </c>
      <c r="F192" s="1" t="s">
        <v>52</v>
      </c>
      <c r="G192" s="1" t="s">
        <v>53</v>
      </c>
      <c r="H192" s="1" t="s">
        <v>19</v>
      </c>
      <c r="I192" s="3">
        <v>2</v>
      </c>
      <c r="J192" s="3">
        <v>149.99</v>
      </c>
      <c r="K192" s="1" t="s">
        <v>20</v>
      </c>
      <c r="L192" s="1" t="s">
        <v>40</v>
      </c>
      <c r="M192" s="1" t="s">
        <v>36</v>
      </c>
      <c r="N192" s="2">
        <v>44913</v>
      </c>
      <c r="O192" s="5">
        <v>299.98</v>
      </c>
    </row>
    <row r="193" spans="2:15" ht="15" thickBot="1" x14ac:dyDescent="0.4">
      <c r="B193" s="4" t="s">
        <v>338</v>
      </c>
      <c r="C193" s="2">
        <v>45671</v>
      </c>
      <c r="D193" s="1" t="s">
        <v>234</v>
      </c>
      <c r="E193" s="1" t="s">
        <v>235</v>
      </c>
      <c r="F193" s="1" t="s">
        <v>105</v>
      </c>
      <c r="G193" s="1" t="s">
        <v>106</v>
      </c>
      <c r="H193" s="1" t="s">
        <v>46</v>
      </c>
      <c r="I193" s="3">
        <v>3</v>
      </c>
      <c r="J193" s="3">
        <v>299.99</v>
      </c>
      <c r="K193" s="1" t="s">
        <v>26</v>
      </c>
      <c r="L193" s="1" t="s">
        <v>35</v>
      </c>
      <c r="M193" s="1" t="s">
        <v>22</v>
      </c>
      <c r="N193" s="2">
        <v>45204</v>
      </c>
      <c r="O193" s="5">
        <v>899.97</v>
      </c>
    </row>
    <row r="194" spans="2:15" ht="15" thickBot="1" x14ac:dyDescent="0.4">
      <c r="B194" s="4" t="s">
        <v>339</v>
      </c>
      <c r="C194" s="2">
        <v>45673</v>
      </c>
      <c r="D194" s="1" t="s">
        <v>226</v>
      </c>
      <c r="E194" s="1" t="s">
        <v>227</v>
      </c>
      <c r="F194" s="1" t="s">
        <v>126</v>
      </c>
      <c r="G194" s="1" t="s">
        <v>127</v>
      </c>
      <c r="H194" s="1" t="s">
        <v>46</v>
      </c>
      <c r="I194" s="3">
        <v>4</v>
      </c>
      <c r="J194" s="3">
        <v>199.99</v>
      </c>
      <c r="K194" s="1" t="s">
        <v>57</v>
      </c>
      <c r="L194" s="1" t="s">
        <v>35</v>
      </c>
      <c r="M194" s="1" t="s">
        <v>36</v>
      </c>
      <c r="N194" s="2">
        <v>44544</v>
      </c>
      <c r="O194" s="5">
        <v>799.96</v>
      </c>
    </row>
    <row r="195" spans="2:15" ht="15" thickBot="1" x14ac:dyDescent="0.4">
      <c r="B195" s="4" t="s">
        <v>340</v>
      </c>
      <c r="C195" s="2">
        <v>45673</v>
      </c>
      <c r="D195" s="1" t="s">
        <v>211</v>
      </c>
      <c r="E195" s="1" t="s">
        <v>212</v>
      </c>
      <c r="F195" s="1" t="s">
        <v>105</v>
      </c>
      <c r="G195" s="1" t="s">
        <v>106</v>
      </c>
      <c r="H195" s="1" t="s">
        <v>46</v>
      </c>
      <c r="I195" s="3">
        <v>5</v>
      </c>
      <c r="J195" s="3">
        <v>299.99</v>
      </c>
      <c r="K195" s="1" t="s">
        <v>57</v>
      </c>
      <c r="L195" s="1" t="s">
        <v>21</v>
      </c>
      <c r="M195" s="1" t="s">
        <v>22</v>
      </c>
      <c r="N195" s="2">
        <v>44431</v>
      </c>
      <c r="O195" s="5">
        <v>1499.95</v>
      </c>
    </row>
    <row r="196" spans="2:15" ht="15" thickBot="1" x14ac:dyDescent="0.4">
      <c r="B196" s="4" t="s">
        <v>341</v>
      </c>
      <c r="C196" s="2">
        <v>45673</v>
      </c>
      <c r="D196" s="1" t="s">
        <v>59</v>
      </c>
      <c r="E196" s="1" t="s">
        <v>60</v>
      </c>
      <c r="F196" s="1" t="s">
        <v>44</v>
      </c>
      <c r="G196" s="1" t="s">
        <v>45</v>
      </c>
      <c r="H196" s="1" t="s">
        <v>46</v>
      </c>
      <c r="I196" s="3">
        <v>3</v>
      </c>
      <c r="J196" s="3">
        <v>149.99</v>
      </c>
      <c r="K196" s="1" t="s">
        <v>26</v>
      </c>
      <c r="L196" s="1" t="s">
        <v>63</v>
      </c>
      <c r="M196" s="1" t="s">
        <v>36</v>
      </c>
      <c r="N196" s="2">
        <v>44395</v>
      </c>
      <c r="O196" s="5">
        <v>449.97</v>
      </c>
    </row>
    <row r="197" spans="2:15" ht="15" thickBot="1" x14ac:dyDescent="0.4">
      <c r="B197" s="4" t="s">
        <v>342</v>
      </c>
      <c r="C197" s="2">
        <v>45676</v>
      </c>
      <c r="D197" s="1" t="s">
        <v>129</v>
      </c>
      <c r="E197" s="1" t="s">
        <v>130</v>
      </c>
      <c r="F197" s="1" t="s">
        <v>31</v>
      </c>
      <c r="G197" s="1" t="s">
        <v>32</v>
      </c>
      <c r="H197" s="1" t="s">
        <v>33</v>
      </c>
      <c r="I197" s="3">
        <v>5</v>
      </c>
      <c r="J197" s="3">
        <v>59.99</v>
      </c>
      <c r="K197" s="1" t="s">
        <v>57</v>
      </c>
      <c r="L197" s="1" t="s">
        <v>63</v>
      </c>
      <c r="M197" s="1" t="s">
        <v>22</v>
      </c>
      <c r="N197" s="2">
        <v>44642</v>
      </c>
      <c r="O197" s="5">
        <v>299.95</v>
      </c>
    </row>
    <row r="198" spans="2:15" ht="15" thickBot="1" x14ac:dyDescent="0.4">
      <c r="B198" s="4" t="s">
        <v>343</v>
      </c>
      <c r="C198" s="2">
        <v>45682</v>
      </c>
      <c r="D198" s="1" t="s">
        <v>68</v>
      </c>
      <c r="E198" s="1" t="s">
        <v>69</v>
      </c>
      <c r="F198" s="1" t="s">
        <v>31</v>
      </c>
      <c r="G198" s="1" t="s">
        <v>32</v>
      </c>
      <c r="H198" s="1" t="s">
        <v>33</v>
      </c>
      <c r="I198" s="3">
        <v>4</v>
      </c>
      <c r="J198" s="3">
        <v>59.99</v>
      </c>
      <c r="K198" s="1" t="s">
        <v>57</v>
      </c>
      <c r="L198" s="1" t="s">
        <v>63</v>
      </c>
      <c r="M198" s="1" t="s">
        <v>36</v>
      </c>
      <c r="N198" s="2">
        <v>44564</v>
      </c>
      <c r="O198" s="5">
        <v>239.96</v>
      </c>
    </row>
    <row r="199" spans="2:15" ht="15" thickBot="1" x14ac:dyDescent="0.4">
      <c r="B199" s="4" t="s">
        <v>344</v>
      </c>
      <c r="C199" s="2">
        <v>45683</v>
      </c>
      <c r="D199" s="1" t="s">
        <v>48</v>
      </c>
      <c r="E199" s="1" t="s">
        <v>49</v>
      </c>
      <c r="F199" s="1" t="s">
        <v>17</v>
      </c>
      <c r="G199" s="1" t="s">
        <v>18</v>
      </c>
      <c r="H199" s="1" t="s">
        <v>19</v>
      </c>
      <c r="I199" s="3">
        <v>4</v>
      </c>
      <c r="J199" s="3">
        <v>249.99</v>
      </c>
      <c r="K199" s="1" t="s">
        <v>57</v>
      </c>
      <c r="L199" s="1" t="s">
        <v>21</v>
      </c>
      <c r="M199" s="1" t="s">
        <v>27</v>
      </c>
      <c r="N199" s="2">
        <v>45217</v>
      </c>
      <c r="O199" s="5">
        <v>999.96</v>
      </c>
    </row>
    <row r="200" spans="2:15" ht="15" thickBot="1" x14ac:dyDescent="0.4">
      <c r="B200" s="4" t="s">
        <v>345</v>
      </c>
      <c r="C200" s="2">
        <v>45686</v>
      </c>
      <c r="D200" s="1" t="s">
        <v>252</v>
      </c>
      <c r="E200" s="1" t="s">
        <v>253</v>
      </c>
      <c r="F200" s="1" t="s">
        <v>61</v>
      </c>
      <c r="G200" s="1" t="s">
        <v>62</v>
      </c>
      <c r="H200" s="1" t="s">
        <v>19</v>
      </c>
      <c r="I200" s="3">
        <v>4</v>
      </c>
      <c r="J200" s="3">
        <v>899.99</v>
      </c>
      <c r="K200" s="1" t="s">
        <v>34</v>
      </c>
      <c r="L200" s="1" t="s">
        <v>21</v>
      </c>
      <c r="M200" s="1" t="s">
        <v>22</v>
      </c>
      <c r="N200" s="2">
        <v>44734</v>
      </c>
      <c r="O200" s="5">
        <v>3599.96</v>
      </c>
    </row>
    <row r="201" spans="2:15" ht="15" thickBot="1" x14ac:dyDescent="0.4">
      <c r="B201" s="4" t="s">
        <v>346</v>
      </c>
      <c r="C201" s="2">
        <v>45686</v>
      </c>
      <c r="D201" s="1" t="s">
        <v>86</v>
      </c>
      <c r="E201" s="1" t="s">
        <v>87</v>
      </c>
      <c r="F201" s="1" t="s">
        <v>105</v>
      </c>
      <c r="G201" s="1" t="s">
        <v>106</v>
      </c>
      <c r="H201" s="1" t="s">
        <v>46</v>
      </c>
      <c r="I201" s="3">
        <v>3</v>
      </c>
      <c r="J201" s="3">
        <v>299.99</v>
      </c>
      <c r="K201" s="1" t="s">
        <v>57</v>
      </c>
      <c r="L201" s="1" t="s">
        <v>50</v>
      </c>
      <c r="M201" s="1" t="s">
        <v>36</v>
      </c>
      <c r="N201" s="2">
        <v>44952</v>
      </c>
      <c r="O201" s="5">
        <v>899.97</v>
      </c>
    </row>
    <row r="202" spans="2:15" ht="15" thickBot="1" x14ac:dyDescent="0.4">
      <c r="B202" s="4" t="s">
        <v>347</v>
      </c>
      <c r="C202" s="2">
        <v>45686</v>
      </c>
      <c r="D202" s="1" t="s">
        <v>293</v>
      </c>
      <c r="E202" s="1" t="s">
        <v>294</v>
      </c>
      <c r="F202" s="1" t="s">
        <v>80</v>
      </c>
      <c r="G202" s="1" t="s">
        <v>81</v>
      </c>
      <c r="H202" s="1" t="s">
        <v>19</v>
      </c>
      <c r="I202" s="3">
        <v>2</v>
      </c>
      <c r="J202" s="3">
        <v>699.99</v>
      </c>
      <c r="K202" s="1" t="s">
        <v>57</v>
      </c>
      <c r="L202" s="1" t="s">
        <v>21</v>
      </c>
      <c r="M202" s="1" t="s">
        <v>27</v>
      </c>
      <c r="N202" s="2">
        <v>44681</v>
      </c>
      <c r="O202" s="5">
        <v>1399.98</v>
      </c>
    </row>
    <row r="203" spans="2:15" ht="15" thickBot="1" x14ac:dyDescent="0.4">
      <c r="B203" s="4" t="s">
        <v>348</v>
      </c>
      <c r="C203" s="2">
        <v>45688</v>
      </c>
      <c r="D203" s="1" t="s">
        <v>65</v>
      </c>
      <c r="E203" s="1" t="s">
        <v>66</v>
      </c>
      <c r="F203" s="1" t="s">
        <v>80</v>
      </c>
      <c r="G203" s="1" t="s">
        <v>81</v>
      </c>
      <c r="H203" s="1" t="s">
        <v>19</v>
      </c>
      <c r="I203" s="3">
        <v>4</v>
      </c>
      <c r="J203" s="3">
        <v>699.99</v>
      </c>
      <c r="K203" s="1" t="s">
        <v>57</v>
      </c>
      <c r="L203" s="1" t="s">
        <v>50</v>
      </c>
      <c r="M203" s="1" t="s">
        <v>27</v>
      </c>
      <c r="N203" s="2">
        <v>44692</v>
      </c>
      <c r="O203" s="5">
        <v>2799.96</v>
      </c>
    </row>
    <row r="204" spans="2:15" ht="15" thickBot="1" x14ac:dyDescent="0.4">
      <c r="B204" s="4" t="s">
        <v>349</v>
      </c>
      <c r="C204" s="2">
        <v>45688</v>
      </c>
      <c r="D204" s="1" t="s">
        <v>123</v>
      </c>
      <c r="E204" s="1" t="s">
        <v>124</v>
      </c>
      <c r="F204" s="1" t="s">
        <v>117</v>
      </c>
      <c r="G204" s="1" t="s">
        <v>118</v>
      </c>
      <c r="H204" s="1" t="s">
        <v>19</v>
      </c>
      <c r="I204" s="3">
        <v>2</v>
      </c>
      <c r="J204" s="3">
        <v>89.99</v>
      </c>
      <c r="K204" s="1" t="s">
        <v>57</v>
      </c>
      <c r="L204" s="1" t="s">
        <v>35</v>
      </c>
      <c r="M204" s="1" t="s">
        <v>22</v>
      </c>
      <c r="N204" s="2">
        <v>44777</v>
      </c>
      <c r="O204" s="5">
        <v>179.98</v>
      </c>
    </row>
    <row r="205" spans="2:15" ht="15" thickBot="1" x14ac:dyDescent="0.4">
      <c r="B205" s="4" t="s">
        <v>350</v>
      </c>
      <c r="C205" s="2">
        <v>45688</v>
      </c>
      <c r="D205" s="1" t="s">
        <v>42</v>
      </c>
      <c r="E205" s="1" t="s">
        <v>43</v>
      </c>
      <c r="F205" s="1" t="s">
        <v>117</v>
      </c>
      <c r="G205" s="1" t="s">
        <v>118</v>
      </c>
      <c r="H205" s="1" t="s">
        <v>19</v>
      </c>
      <c r="I205" s="3">
        <v>3</v>
      </c>
      <c r="J205" s="3">
        <v>89.99</v>
      </c>
      <c r="K205" s="1" t="s">
        <v>57</v>
      </c>
      <c r="L205" s="1" t="s">
        <v>35</v>
      </c>
      <c r="M205" s="1" t="s">
        <v>27</v>
      </c>
      <c r="N205" s="2">
        <v>45307</v>
      </c>
      <c r="O205" s="5">
        <v>269.97000000000003</v>
      </c>
    </row>
    <row r="206" spans="2:15" ht="15" thickBot="1" x14ac:dyDescent="0.4">
      <c r="B206" s="4" t="s">
        <v>351</v>
      </c>
      <c r="C206" s="2">
        <v>45692</v>
      </c>
      <c r="D206" s="1" t="s">
        <v>325</v>
      </c>
      <c r="E206" s="1" t="s">
        <v>326</v>
      </c>
      <c r="F206" s="1" t="s">
        <v>31</v>
      </c>
      <c r="G206" s="1" t="s">
        <v>32</v>
      </c>
      <c r="H206" s="1" t="s">
        <v>33</v>
      </c>
      <c r="I206" s="3">
        <v>1</v>
      </c>
      <c r="J206" s="3">
        <v>59.99</v>
      </c>
      <c r="K206" s="1" t="s">
        <v>57</v>
      </c>
      <c r="L206" s="1" t="s">
        <v>21</v>
      </c>
      <c r="M206" s="1" t="s">
        <v>36</v>
      </c>
      <c r="N206" s="2">
        <v>45045</v>
      </c>
      <c r="O206" s="5">
        <v>59.99</v>
      </c>
    </row>
    <row r="207" spans="2:15" ht="15" thickBot="1" x14ac:dyDescent="0.4">
      <c r="B207" s="4" t="s">
        <v>352</v>
      </c>
      <c r="C207" s="2">
        <v>45695</v>
      </c>
      <c r="D207" s="1" t="s">
        <v>246</v>
      </c>
      <c r="E207" s="1" t="s">
        <v>247</v>
      </c>
      <c r="F207" s="1" t="s">
        <v>44</v>
      </c>
      <c r="G207" s="1" t="s">
        <v>45</v>
      </c>
      <c r="H207" s="1" t="s">
        <v>46</v>
      </c>
      <c r="I207" s="3">
        <v>3</v>
      </c>
      <c r="J207" s="3">
        <v>149.99</v>
      </c>
      <c r="K207" s="1" t="s">
        <v>57</v>
      </c>
      <c r="L207" s="1" t="s">
        <v>40</v>
      </c>
      <c r="M207" s="1" t="s">
        <v>27</v>
      </c>
      <c r="N207" s="2">
        <v>44564</v>
      </c>
      <c r="O207" s="5">
        <v>449.97</v>
      </c>
    </row>
    <row r="208" spans="2:15" ht="15" thickBot="1" x14ac:dyDescent="0.4">
      <c r="B208" s="4" t="s">
        <v>353</v>
      </c>
      <c r="C208" s="2">
        <v>45695</v>
      </c>
      <c r="D208" s="1" t="s">
        <v>93</v>
      </c>
      <c r="E208" s="1" t="s">
        <v>94</v>
      </c>
      <c r="F208" s="1" t="s">
        <v>105</v>
      </c>
      <c r="G208" s="1" t="s">
        <v>106</v>
      </c>
      <c r="H208" s="1" t="s">
        <v>46</v>
      </c>
      <c r="I208" s="3">
        <v>5</v>
      </c>
      <c r="J208" s="3">
        <v>299.99</v>
      </c>
      <c r="K208" s="1" t="s">
        <v>26</v>
      </c>
      <c r="L208" s="1" t="s">
        <v>35</v>
      </c>
      <c r="M208" s="1" t="s">
        <v>22</v>
      </c>
      <c r="N208" s="2">
        <v>44959</v>
      </c>
      <c r="O208" s="5">
        <v>1499.95</v>
      </c>
    </row>
    <row r="209" spans="2:15" ht="15" thickBot="1" x14ac:dyDescent="0.4">
      <c r="B209" s="4" t="s">
        <v>354</v>
      </c>
      <c r="C209" s="2">
        <v>45696</v>
      </c>
      <c r="D209" s="1" t="s">
        <v>150</v>
      </c>
      <c r="E209" s="1" t="s">
        <v>151</v>
      </c>
      <c r="F209" s="1" t="s">
        <v>31</v>
      </c>
      <c r="G209" s="1" t="s">
        <v>32</v>
      </c>
      <c r="H209" s="1" t="s">
        <v>33</v>
      </c>
      <c r="I209" s="3">
        <v>5</v>
      </c>
      <c r="J209" s="3">
        <v>59.99</v>
      </c>
      <c r="K209" s="1" t="s">
        <v>57</v>
      </c>
      <c r="L209" s="1" t="s">
        <v>21</v>
      </c>
      <c r="M209" s="1" t="s">
        <v>36</v>
      </c>
      <c r="N209" s="2">
        <v>45177</v>
      </c>
      <c r="O209" s="5">
        <v>299.95</v>
      </c>
    </row>
    <row r="210" spans="2:15" ht="15" thickBot="1" x14ac:dyDescent="0.4">
      <c r="B210" s="4" t="s">
        <v>355</v>
      </c>
      <c r="C210" s="2">
        <v>45701</v>
      </c>
      <c r="D210" s="1" t="s">
        <v>108</v>
      </c>
      <c r="E210" s="1" t="s">
        <v>109</v>
      </c>
      <c r="F210" s="1" t="s">
        <v>114</v>
      </c>
      <c r="G210" s="1" t="s">
        <v>115</v>
      </c>
      <c r="H210" s="1" t="s">
        <v>33</v>
      </c>
      <c r="I210" s="3">
        <v>3</v>
      </c>
      <c r="J210" s="3">
        <v>79.989999999999995</v>
      </c>
      <c r="K210" s="1" t="s">
        <v>20</v>
      </c>
      <c r="L210" s="1" t="s">
        <v>63</v>
      </c>
      <c r="M210" s="1" t="s">
        <v>27</v>
      </c>
      <c r="N210" s="2">
        <v>44436</v>
      </c>
      <c r="O210" s="5">
        <v>239.97</v>
      </c>
    </row>
    <row r="211" spans="2:15" ht="15" thickBot="1" x14ac:dyDescent="0.4">
      <c r="B211" s="4" t="s">
        <v>356</v>
      </c>
      <c r="C211" s="2">
        <v>45704</v>
      </c>
      <c r="D211" s="1" t="s">
        <v>29</v>
      </c>
      <c r="E211" s="1" t="s">
        <v>30</v>
      </c>
      <c r="F211" s="1" t="s">
        <v>126</v>
      </c>
      <c r="G211" s="1" t="s">
        <v>127</v>
      </c>
      <c r="H211" s="1" t="s">
        <v>46</v>
      </c>
      <c r="I211" s="3">
        <v>3</v>
      </c>
      <c r="J211" s="3">
        <v>199.99</v>
      </c>
      <c r="K211" s="1" t="s">
        <v>20</v>
      </c>
      <c r="L211" s="1" t="s">
        <v>21</v>
      </c>
      <c r="M211" s="1" t="s">
        <v>22</v>
      </c>
      <c r="N211" s="2">
        <v>44735</v>
      </c>
      <c r="O211" s="5">
        <v>599.97</v>
      </c>
    </row>
    <row r="212" spans="2:15" ht="15" thickBot="1" x14ac:dyDescent="0.4">
      <c r="B212" s="4" t="s">
        <v>357</v>
      </c>
      <c r="C212" s="2">
        <v>45704</v>
      </c>
      <c r="D212" s="1" t="s">
        <v>15</v>
      </c>
      <c r="E212" s="1" t="s">
        <v>16</v>
      </c>
      <c r="F212" s="1" t="s">
        <v>117</v>
      </c>
      <c r="G212" s="1" t="s">
        <v>118</v>
      </c>
      <c r="H212" s="1" t="s">
        <v>19</v>
      </c>
      <c r="I212" s="3">
        <v>2</v>
      </c>
      <c r="J212" s="3">
        <v>89.99</v>
      </c>
      <c r="K212" s="1" t="s">
        <v>34</v>
      </c>
      <c r="L212" s="1" t="s">
        <v>21</v>
      </c>
      <c r="M212" s="1" t="s">
        <v>22</v>
      </c>
      <c r="N212" s="2">
        <v>45257</v>
      </c>
      <c r="O212" s="5">
        <v>179.98</v>
      </c>
    </row>
    <row r="213" spans="2:15" ht="15" thickBot="1" x14ac:dyDescent="0.4">
      <c r="B213" s="4" t="s">
        <v>358</v>
      </c>
      <c r="C213" s="2">
        <v>45705</v>
      </c>
      <c r="D213" s="1" t="s">
        <v>259</v>
      </c>
      <c r="E213" s="1" t="s">
        <v>260</v>
      </c>
      <c r="F213" s="1" t="s">
        <v>44</v>
      </c>
      <c r="G213" s="1" t="s">
        <v>45</v>
      </c>
      <c r="H213" s="1" t="s">
        <v>46</v>
      </c>
      <c r="I213" s="3">
        <v>2</v>
      </c>
      <c r="J213" s="3">
        <v>149.99</v>
      </c>
      <c r="K213" s="1" t="s">
        <v>20</v>
      </c>
      <c r="L213" s="1" t="s">
        <v>35</v>
      </c>
      <c r="M213" s="1" t="s">
        <v>27</v>
      </c>
      <c r="N213" s="2">
        <v>44728</v>
      </c>
      <c r="O213" s="5">
        <v>299.98</v>
      </c>
    </row>
    <row r="214" spans="2:15" ht="15" thickBot="1" x14ac:dyDescent="0.4">
      <c r="B214" s="4" t="s">
        <v>359</v>
      </c>
      <c r="C214" s="2">
        <v>45707</v>
      </c>
      <c r="D214" s="1" t="s">
        <v>123</v>
      </c>
      <c r="E214" s="1" t="s">
        <v>124</v>
      </c>
      <c r="F214" s="1" t="s">
        <v>80</v>
      </c>
      <c r="G214" s="1" t="s">
        <v>81</v>
      </c>
      <c r="H214" s="1" t="s">
        <v>19</v>
      </c>
      <c r="I214" s="3">
        <v>5</v>
      </c>
      <c r="J214" s="3">
        <v>699.99</v>
      </c>
      <c r="K214" s="1" t="s">
        <v>34</v>
      </c>
      <c r="L214" s="1" t="s">
        <v>35</v>
      </c>
      <c r="M214" s="1" t="s">
        <v>27</v>
      </c>
      <c r="N214" s="2">
        <v>45352</v>
      </c>
      <c r="O214" s="5">
        <v>3499.95</v>
      </c>
    </row>
    <row r="215" spans="2:15" ht="15" thickBot="1" x14ac:dyDescent="0.4">
      <c r="B215" s="4" t="s">
        <v>360</v>
      </c>
      <c r="C215" s="2">
        <v>45707</v>
      </c>
      <c r="D215" s="1" t="s">
        <v>42</v>
      </c>
      <c r="E215" s="1" t="s">
        <v>43</v>
      </c>
      <c r="F215" s="1" t="s">
        <v>44</v>
      </c>
      <c r="G215" s="1" t="s">
        <v>45</v>
      </c>
      <c r="H215" s="1" t="s">
        <v>46</v>
      </c>
      <c r="I215" s="3">
        <v>3</v>
      </c>
      <c r="J215" s="3">
        <v>149.99</v>
      </c>
      <c r="K215" s="1" t="s">
        <v>34</v>
      </c>
      <c r="L215" s="1" t="s">
        <v>21</v>
      </c>
      <c r="M215" s="1" t="s">
        <v>36</v>
      </c>
      <c r="N215" s="2">
        <v>44633</v>
      </c>
      <c r="O215" s="5">
        <v>449.97</v>
      </c>
    </row>
    <row r="216" spans="2:15" ht="15" thickBot="1" x14ac:dyDescent="0.4">
      <c r="B216" s="4" t="s">
        <v>361</v>
      </c>
      <c r="C216" s="2">
        <v>45708</v>
      </c>
      <c r="D216" s="1" t="s">
        <v>96</v>
      </c>
      <c r="E216" s="1" t="s">
        <v>97</v>
      </c>
      <c r="F216" s="1" t="s">
        <v>61</v>
      </c>
      <c r="G216" s="1" t="s">
        <v>62</v>
      </c>
      <c r="H216" s="1" t="s">
        <v>19</v>
      </c>
      <c r="I216" s="3">
        <v>3</v>
      </c>
      <c r="J216" s="3">
        <v>899.99</v>
      </c>
      <c r="K216" s="1" t="s">
        <v>20</v>
      </c>
      <c r="L216" s="1" t="s">
        <v>63</v>
      </c>
      <c r="M216" s="1" t="s">
        <v>36</v>
      </c>
      <c r="N216" s="2">
        <v>44613</v>
      </c>
      <c r="O216" s="5">
        <v>2699.97</v>
      </c>
    </row>
    <row r="217" spans="2:15" ht="15" thickBot="1" x14ac:dyDescent="0.4">
      <c r="B217" s="4" t="s">
        <v>362</v>
      </c>
      <c r="C217" s="2">
        <v>45708</v>
      </c>
      <c r="D217" s="1" t="s">
        <v>192</v>
      </c>
      <c r="E217" s="1" t="s">
        <v>193</v>
      </c>
      <c r="F217" s="1" t="s">
        <v>126</v>
      </c>
      <c r="G217" s="1" t="s">
        <v>127</v>
      </c>
      <c r="H217" s="1" t="s">
        <v>46</v>
      </c>
      <c r="I217" s="3">
        <v>3</v>
      </c>
      <c r="J217" s="3">
        <v>199.99</v>
      </c>
      <c r="K217" s="1" t="s">
        <v>20</v>
      </c>
      <c r="L217" s="1" t="s">
        <v>50</v>
      </c>
      <c r="M217" s="1" t="s">
        <v>27</v>
      </c>
      <c r="N217" s="2">
        <v>44823</v>
      </c>
      <c r="O217" s="5">
        <v>599.97</v>
      </c>
    </row>
    <row r="218" spans="2:15" ht="15" thickBot="1" x14ac:dyDescent="0.4">
      <c r="B218" s="4" t="s">
        <v>363</v>
      </c>
      <c r="C218" s="2">
        <v>45710</v>
      </c>
      <c r="D218" s="1" t="s">
        <v>55</v>
      </c>
      <c r="E218" s="1" t="s">
        <v>56</v>
      </c>
      <c r="F218" s="1" t="s">
        <v>105</v>
      </c>
      <c r="G218" s="1" t="s">
        <v>106</v>
      </c>
      <c r="H218" s="1" t="s">
        <v>46</v>
      </c>
      <c r="I218" s="3">
        <v>5</v>
      </c>
      <c r="J218" s="3">
        <v>299.99</v>
      </c>
      <c r="K218" s="1" t="s">
        <v>20</v>
      </c>
      <c r="L218" s="1" t="s">
        <v>50</v>
      </c>
      <c r="M218" s="1" t="s">
        <v>36</v>
      </c>
      <c r="N218" s="2">
        <v>45142</v>
      </c>
      <c r="O218" s="5">
        <v>1499.95</v>
      </c>
    </row>
    <row r="219" spans="2:15" ht="15" thickBot="1" x14ac:dyDescent="0.4">
      <c r="B219" s="4" t="s">
        <v>364</v>
      </c>
      <c r="C219" s="2">
        <v>45710</v>
      </c>
      <c r="D219" s="1" t="s">
        <v>150</v>
      </c>
      <c r="E219" s="1" t="s">
        <v>151</v>
      </c>
      <c r="F219" s="1" t="s">
        <v>80</v>
      </c>
      <c r="G219" s="1" t="s">
        <v>81</v>
      </c>
      <c r="H219" s="1" t="s">
        <v>19</v>
      </c>
      <c r="I219" s="3">
        <v>1</v>
      </c>
      <c r="J219" s="3">
        <v>699.99</v>
      </c>
      <c r="K219" s="1" t="s">
        <v>34</v>
      </c>
      <c r="L219" s="1" t="s">
        <v>50</v>
      </c>
      <c r="M219" s="1" t="s">
        <v>22</v>
      </c>
      <c r="N219" s="2">
        <v>44934</v>
      </c>
      <c r="O219" s="5">
        <v>699.99</v>
      </c>
    </row>
    <row r="220" spans="2:15" ht="15" thickBot="1" x14ac:dyDescent="0.4">
      <c r="B220" s="4" t="s">
        <v>365</v>
      </c>
      <c r="C220" s="2">
        <v>45711</v>
      </c>
      <c r="D220" s="1" t="s">
        <v>246</v>
      </c>
      <c r="E220" s="1" t="s">
        <v>247</v>
      </c>
      <c r="F220" s="1" t="s">
        <v>80</v>
      </c>
      <c r="G220" s="1" t="s">
        <v>81</v>
      </c>
      <c r="H220" s="1" t="s">
        <v>19</v>
      </c>
      <c r="I220" s="3">
        <v>1</v>
      </c>
      <c r="J220" s="3">
        <v>699.99</v>
      </c>
      <c r="K220" s="1" t="s">
        <v>20</v>
      </c>
      <c r="L220" s="1" t="s">
        <v>40</v>
      </c>
      <c r="M220" s="1" t="s">
        <v>27</v>
      </c>
      <c r="N220" s="2">
        <v>44583</v>
      </c>
      <c r="O220" s="5">
        <v>699.99</v>
      </c>
    </row>
    <row r="221" spans="2:15" ht="15" thickBot="1" x14ac:dyDescent="0.4">
      <c r="B221" s="4" t="s">
        <v>366</v>
      </c>
      <c r="C221" s="2">
        <v>45711</v>
      </c>
      <c r="D221" s="1" t="s">
        <v>325</v>
      </c>
      <c r="E221" s="1" t="s">
        <v>326</v>
      </c>
      <c r="F221" s="1" t="s">
        <v>44</v>
      </c>
      <c r="G221" s="1" t="s">
        <v>45</v>
      </c>
      <c r="H221" s="1" t="s">
        <v>46</v>
      </c>
      <c r="I221" s="3">
        <v>4</v>
      </c>
      <c r="J221" s="3">
        <v>149.99</v>
      </c>
      <c r="K221" s="1" t="s">
        <v>34</v>
      </c>
      <c r="L221" s="1" t="s">
        <v>40</v>
      </c>
      <c r="M221" s="1" t="s">
        <v>27</v>
      </c>
      <c r="N221" s="2">
        <v>44412</v>
      </c>
      <c r="O221" s="5">
        <v>599.96</v>
      </c>
    </row>
    <row r="222" spans="2:15" ht="15" thickBot="1" x14ac:dyDescent="0.4">
      <c r="B222" s="4" t="s">
        <v>367</v>
      </c>
      <c r="C222" s="2">
        <v>45711</v>
      </c>
      <c r="D222" s="1" t="s">
        <v>211</v>
      </c>
      <c r="E222" s="1" t="s">
        <v>212</v>
      </c>
      <c r="F222" s="1" t="s">
        <v>117</v>
      </c>
      <c r="G222" s="1" t="s">
        <v>118</v>
      </c>
      <c r="H222" s="1" t="s">
        <v>19</v>
      </c>
      <c r="I222" s="3">
        <v>5</v>
      </c>
      <c r="J222" s="3">
        <v>89.99</v>
      </c>
      <c r="K222" s="1" t="s">
        <v>34</v>
      </c>
      <c r="L222" s="1" t="s">
        <v>50</v>
      </c>
      <c r="M222" s="1" t="s">
        <v>27</v>
      </c>
      <c r="N222" s="2">
        <v>45140</v>
      </c>
      <c r="O222" s="5">
        <v>449.95</v>
      </c>
    </row>
    <row r="223" spans="2:15" ht="15" thickBot="1" x14ac:dyDescent="0.4">
      <c r="B223" s="4" t="s">
        <v>368</v>
      </c>
      <c r="C223" s="2">
        <v>45712</v>
      </c>
      <c r="D223" s="1" t="s">
        <v>138</v>
      </c>
      <c r="E223" s="1" t="s">
        <v>139</v>
      </c>
      <c r="F223" s="1" t="s">
        <v>126</v>
      </c>
      <c r="G223" s="1" t="s">
        <v>127</v>
      </c>
      <c r="H223" s="1" t="s">
        <v>46</v>
      </c>
      <c r="I223" s="3">
        <v>2</v>
      </c>
      <c r="J223" s="3">
        <v>199.99</v>
      </c>
      <c r="K223" s="1" t="s">
        <v>20</v>
      </c>
      <c r="L223" s="1" t="s">
        <v>21</v>
      </c>
      <c r="M223" s="1" t="s">
        <v>27</v>
      </c>
      <c r="N223" s="2">
        <v>44573</v>
      </c>
      <c r="O223" s="5">
        <v>399.98</v>
      </c>
    </row>
    <row r="224" spans="2:15" ht="15" thickBot="1" x14ac:dyDescent="0.4">
      <c r="B224" s="4" t="s">
        <v>369</v>
      </c>
      <c r="C224" s="2">
        <v>45715</v>
      </c>
      <c r="D224" s="1" t="s">
        <v>259</v>
      </c>
      <c r="E224" s="1" t="s">
        <v>260</v>
      </c>
      <c r="F224" s="1" t="s">
        <v>31</v>
      </c>
      <c r="G224" s="1" t="s">
        <v>32</v>
      </c>
      <c r="H224" s="1" t="s">
        <v>33</v>
      </c>
      <c r="I224" s="3">
        <v>4</v>
      </c>
      <c r="J224" s="3">
        <v>59.99</v>
      </c>
      <c r="K224" s="1" t="s">
        <v>20</v>
      </c>
      <c r="L224" s="1" t="s">
        <v>50</v>
      </c>
      <c r="M224" s="1" t="s">
        <v>36</v>
      </c>
      <c r="N224" s="2">
        <v>45070</v>
      </c>
      <c r="O224" s="5">
        <v>239.96</v>
      </c>
    </row>
    <row r="225" spans="2:15" ht="15" thickBot="1" x14ac:dyDescent="0.4">
      <c r="B225" s="4" t="s">
        <v>370</v>
      </c>
      <c r="C225" s="2">
        <v>45715</v>
      </c>
      <c r="D225" s="1" t="s">
        <v>93</v>
      </c>
      <c r="E225" s="1" t="s">
        <v>94</v>
      </c>
      <c r="F225" s="1" t="s">
        <v>105</v>
      </c>
      <c r="G225" s="1" t="s">
        <v>106</v>
      </c>
      <c r="H225" s="1" t="s">
        <v>46</v>
      </c>
      <c r="I225" s="3">
        <v>2</v>
      </c>
      <c r="J225" s="3">
        <v>299.99</v>
      </c>
      <c r="K225" s="1" t="s">
        <v>34</v>
      </c>
      <c r="L225" s="1" t="s">
        <v>35</v>
      </c>
      <c r="M225" s="1" t="s">
        <v>22</v>
      </c>
      <c r="N225" s="2">
        <v>44576</v>
      </c>
      <c r="O225" s="5">
        <v>599.98</v>
      </c>
    </row>
    <row r="226" spans="2:15" ht="15" thickBot="1" x14ac:dyDescent="0.4">
      <c r="B226" s="4" t="s">
        <v>371</v>
      </c>
      <c r="C226" s="2">
        <v>45718</v>
      </c>
      <c r="D226" s="1" t="s">
        <v>55</v>
      </c>
      <c r="E226" s="1" t="s">
        <v>56</v>
      </c>
      <c r="F226" s="1" t="s">
        <v>44</v>
      </c>
      <c r="G226" s="1" t="s">
        <v>45</v>
      </c>
      <c r="H226" s="1" t="s">
        <v>46</v>
      </c>
      <c r="I226" s="3">
        <v>2</v>
      </c>
      <c r="J226" s="3">
        <v>149.99</v>
      </c>
      <c r="K226" s="1" t="s">
        <v>20</v>
      </c>
      <c r="L226" s="1" t="s">
        <v>21</v>
      </c>
      <c r="M226" s="1" t="s">
        <v>22</v>
      </c>
      <c r="N226" s="2">
        <v>45068</v>
      </c>
      <c r="O226" s="5">
        <v>299.98</v>
      </c>
    </row>
    <row r="227" spans="2:15" ht="15" thickBot="1" x14ac:dyDescent="0.4">
      <c r="B227" s="4" t="s">
        <v>372</v>
      </c>
      <c r="C227" s="2">
        <v>45720</v>
      </c>
      <c r="D227" s="1" t="s">
        <v>226</v>
      </c>
      <c r="E227" s="1" t="s">
        <v>227</v>
      </c>
      <c r="F227" s="1" t="s">
        <v>80</v>
      </c>
      <c r="G227" s="1" t="s">
        <v>81</v>
      </c>
      <c r="H227" s="1" t="s">
        <v>19</v>
      </c>
      <c r="I227" s="3">
        <v>5</v>
      </c>
      <c r="J227" s="3">
        <v>699.99</v>
      </c>
      <c r="K227" s="1" t="s">
        <v>57</v>
      </c>
      <c r="L227" s="1" t="s">
        <v>63</v>
      </c>
      <c r="M227" s="1" t="s">
        <v>27</v>
      </c>
      <c r="N227" s="2">
        <v>45161</v>
      </c>
      <c r="O227" s="5">
        <v>3499.95</v>
      </c>
    </row>
    <row r="228" spans="2:15" ht="15" thickBot="1" x14ac:dyDescent="0.4">
      <c r="B228" s="4" t="s">
        <v>373</v>
      </c>
      <c r="C228" s="2">
        <v>45721</v>
      </c>
      <c r="D228" s="1" t="s">
        <v>75</v>
      </c>
      <c r="E228" s="1" t="s">
        <v>76</v>
      </c>
      <c r="F228" s="1" t="s">
        <v>31</v>
      </c>
      <c r="G228" s="1" t="s">
        <v>32</v>
      </c>
      <c r="H228" s="1" t="s">
        <v>33</v>
      </c>
      <c r="I228" s="3">
        <v>5</v>
      </c>
      <c r="J228" s="3">
        <v>59.99</v>
      </c>
      <c r="K228" s="1" t="s">
        <v>20</v>
      </c>
      <c r="L228" s="1" t="s">
        <v>50</v>
      </c>
      <c r="M228" s="1" t="s">
        <v>27</v>
      </c>
      <c r="N228" s="2">
        <v>45291</v>
      </c>
      <c r="O228" s="5">
        <v>299.95</v>
      </c>
    </row>
    <row r="229" spans="2:15" ht="15" thickBot="1" x14ac:dyDescent="0.4">
      <c r="B229" s="4" t="s">
        <v>374</v>
      </c>
      <c r="C229" s="2">
        <v>45723</v>
      </c>
      <c r="D229" s="1" t="s">
        <v>15</v>
      </c>
      <c r="E229" s="1" t="s">
        <v>16</v>
      </c>
      <c r="F229" s="1" t="s">
        <v>117</v>
      </c>
      <c r="G229" s="1" t="s">
        <v>118</v>
      </c>
      <c r="H229" s="1" t="s">
        <v>19</v>
      </c>
      <c r="I229" s="3">
        <v>2</v>
      </c>
      <c r="J229" s="3">
        <v>89.99</v>
      </c>
      <c r="K229" s="1" t="s">
        <v>26</v>
      </c>
      <c r="L229" s="1" t="s">
        <v>50</v>
      </c>
      <c r="M229" s="1" t="s">
        <v>27</v>
      </c>
      <c r="N229" s="2">
        <v>45295</v>
      </c>
      <c r="O229" s="5">
        <v>179.98</v>
      </c>
    </row>
    <row r="230" spans="2:15" ht="15" thickBot="1" x14ac:dyDescent="0.4">
      <c r="B230" s="4" t="s">
        <v>375</v>
      </c>
      <c r="C230" s="2">
        <v>45723</v>
      </c>
      <c r="D230" s="1" t="s">
        <v>120</v>
      </c>
      <c r="E230" s="1" t="s">
        <v>121</v>
      </c>
      <c r="F230" s="1" t="s">
        <v>17</v>
      </c>
      <c r="G230" s="1" t="s">
        <v>18</v>
      </c>
      <c r="H230" s="1" t="s">
        <v>19</v>
      </c>
      <c r="I230" s="3">
        <v>5</v>
      </c>
      <c r="J230" s="3">
        <v>249.99</v>
      </c>
      <c r="K230" s="1" t="s">
        <v>20</v>
      </c>
      <c r="L230" s="1" t="s">
        <v>63</v>
      </c>
      <c r="M230" s="1" t="s">
        <v>36</v>
      </c>
      <c r="N230" s="2">
        <v>44540</v>
      </c>
      <c r="O230" s="5">
        <v>1249.95</v>
      </c>
    </row>
    <row r="231" spans="2:15" ht="15" thickBot="1" x14ac:dyDescent="0.4">
      <c r="B231" s="4" t="s">
        <v>376</v>
      </c>
      <c r="C231" s="2">
        <v>45724</v>
      </c>
      <c r="D231" s="1" t="s">
        <v>226</v>
      </c>
      <c r="E231" s="1" t="s">
        <v>227</v>
      </c>
      <c r="F231" s="1" t="s">
        <v>44</v>
      </c>
      <c r="G231" s="1" t="s">
        <v>45</v>
      </c>
      <c r="H231" s="1" t="s">
        <v>46</v>
      </c>
      <c r="I231" s="3">
        <v>2</v>
      </c>
      <c r="J231" s="3">
        <v>149.99</v>
      </c>
      <c r="K231" s="1" t="s">
        <v>34</v>
      </c>
      <c r="L231" s="1" t="s">
        <v>21</v>
      </c>
      <c r="M231" s="1" t="s">
        <v>27</v>
      </c>
      <c r="N231" s="2">
        <v>44632</v>
      </c>
      <c r="O231" s="5">
        <v>299.98</v>
      </c>
    </row>
    <row r="232" spans="2:15" ht="15" thickBot="1" x14ac:dyDescent="0.4">
      <c r="B232" s="4" t="s">
        <v>377</v>
      </c>
      <c r="C232" s="2">
        <v>45724</v>
      </c>
      <c r="D232" s="1" t="s">
        <v>144</v>
      </c>
      <c r="E232" s="1" t="s">
        <v>145</v>
      </c>
      <c r="F232" s="1" t="s">
        <v>61</v>
      </c>
      <c r="G232" s="1" t="s">
        <v>62</v>
      </c>
      <c r="H232" s="1" t="s">
        <v>19</v>
      </c>
      <c r="I232" s="3">
        <v>5</v>
      </c>
      <c r="J232" s="3">
        <v>899.99</v>
      </c>
      <c r="K232" s="1" t="s">
        <v>34</v>
      </c>
      <c r="L232" s="1" t="s">
        <v>63</v>
      </c>
      <c r="M232" s="1" t="s">
        <v>27</v>
      </c>
      <c r="N232" s="2">
        <v>45389</v>
      </c>
      <c r="O232" s="5">
        <v>4499.95</v>
      </c>
    </row>
    <row r="233" spans="2:15" ht="15" thickBot="1" x14ac:dyDescent="0.4">
      <c r="B233" s="4" t="s">
        <v>378</v>
      </c>
      <c r="C233" s="2">
        <v>45724</v>
      </c>
      <c r="D233" s="1" t="s">
        <v>55</v>
      </c>
      <c r="E233" s="1" t="s">
        <v>56</v>
      </c>
      <c r="F233" s="1" t="s">
        <v>44</v>
      </c>
      <c r="G233" s="1" t="s">
        <v>45</v>
      </c>
      <c r="H233" s="1" t="s">
        <v>46</v>
      </c>
      <c r="I233" s="3">
        <v>4</v>
      </c>
      <c r="J233" s="3">
        <v>149.99</v>
      </c>
      <c r="K233" s="1" t="s">
        <v>20</v>
      </c>
      <c r="L233" s="1" t="s">
        <v>21</v>
      </c>
      <c r="M233" s="1" t="s">
        <v>36</v>
      </c>
      <c r="N233" s="2">
        <v>45263</v>
      </c>
      <c r="O233" s="5">
        <v>599.96</v>
      </c>
    </row>
    <row r="234" spans="2:15" ht="15" thickBot="1" x14ac:dyDescent="0.4">
      <c r="B234" s="4" t="s">
        <v>379</v>
      </c>
      <c r="C234" s="2">
        <v>45726</v>
      </c>
      <c r="D234" s="1" t="s">
        <v>144</v>
      </c>
      <c r="E234" s="1" t="s">
        <v>145</v>
      </c>
      <c r="F234" s="1" t="s">
        <v>17</v>
      </c>
      <c r="G234" s="1" t="s">
        <v>18</v>
      </c>
      <c r="H234" s="1" t="s">
        <v>19</v>
      </c>
      <c r="I234" s="3">
        <v>1</v>
      </c>
      <c r="J234" s="3">
        <v>249.99</v>
      </c>
      <c r="K234" s="1" t="s">
        <v>20</v>
      </c>
      <c r="L234" s="1" t="s">
        <v>40</v>
      </c>
      <c r="M234" s="1" t="s">
        <v>36</v>
      </c>
      <c r="N234" s="2">
        <v>45117</v>
      </c>
      <c r="O234" s="5">
        <v>249.99</v>
      </c>
    </row>
    <row r="235" spans="2:15" ht="15" thickBot="1" x14ac:dyDescent="0.4">
      <c r="B235" s="4" t="s">
        <v>380</v>
      </c>
      <c r="C235" s="2">
        <v>45734</v>
      </c>
      <c r="D235" s="1" t="s">
        <v>192</v>
      </c>
      <c r="E235" s="1" t="s">
        <v>193</v>
      </c>
      <c r="F235" s="1" t="s">
        <v>31</v>
      </c>
      <c r="G235" s="1" t="s">
        <v>32</v>
      </c>
      <c r="H235" s="1" t="s">
        <v>33</v>
      </c>
      <c r="I235" s="3">
        <v>2</v>
      </c>
      <c r="J235" s="3">
        <v>59.99</v>
      </c>
      <c r="K235" s="1" t="s">
        <v>26</v>
      </c>
      <c r="L235" s="1" t="s">
        <v>50</v>
      </c>
      <c r="M235" s="1" t="s">
        <v>22</v>
      </c>
      <c r="N235" s="2">
        <v>45193</v>
      </c>
      <c r="O235" s="5">
        <v>119.98</v>
      </c>
    </row>
    <row r="236" spans="2:15" ht="15" thickBot="1" x14ac:dyDescent="0.4">
      <c r="B236" s="4" t="s">
        <v>381</v>
      </c>
      <c r="C236" s="2">
        <v>45737</v>
      </c>
      <c r="D236" s="1" t="s">
        <v>132</v>
      </c>
      <c r="E236" s="1" t="s">
        <v>133</v>
      </c>
      <c r="F236" s="1" t="s">
        <v>44</v>
      </c>
      <c r="G236" s="1" t="s">
        <v>45</v>
      </c>
      <c r="H236" s="1" t="s">
        <v>46</v>
      </c>
      <c r="I236" s="3">
        <v>2</v>
      </c>
      <c r="J236" s="3">
        <v>149.99</v>
      </c>
      <c r="K236" s="1" t="s">
        <v>20</v>
      </c>
      <c r="L236" s="1" t="s">
        <v>50</v>
      </c>
      <c r="M236" s="1" t="s">
        <v>27</v>
      </c>
      <c r="N236" s="2">
        <v>45233</v>
      </c>
      <c r="O236" s="5">
        <v>299.98</v>
      </c>
    </row>
    <row r="237" spans="2:15" ht="15" thickBot="1" x14ac:dyDescent="0.4">
      <c r="B237" s="4" t="s">
        <v>382</v>
      </c>
      <c r="C237" s="2">
        <v>45737</v>
      </c>
      <c r="D237" s="1" t="s">
        <v>150</v>
      </c>
      <c r="E237" s="1" t="s">
        <v>151</v>
      </c>
      <c r="F237" s="1" t="s">
        <v>61</v>
      </c>
      <c r="G237" s="1" t="s">
        <v>62</v>
      </c>
      <c r="H237" s="1" t="s">
        <v>19</v>
      </c>
      <c r="I237" s="3">
        <v>3</v>
      </c>
      <c r="J237" s="3">
        <v>899.99</v>
      </c>
      <c r="K237" s="1" t="s">
        <v>57</v>
      </c>
      <c r="L237" s="1" t="s">
        <v>40</v>
      </c>
      <c r="M237" s="1" t="s">
        <v>27</v>
      </c>
      <c r="N237" s="2">
        <v>44876</v>
      </c>
      <c r="O237" s="5">
        <v>2699.97</v>
      </c>
    </row>
    <row r="238" spans="2:15" ht="15" thickBot="1" x14ac:dyDescent="0.4">
      <c r="B238" s="4" t="s">
        <v>383</v>
      </c>
      <c r="C238" s="2">
        <v>45737</v>
      </c>
      <c r="D238" s="1" t="s">
        <v>48</v>
      </c>
      <c r="E238" s="1" t="s">
        <v>49</v>
      </c>
      <c r="F238" s="1" t="s">
        <v>61</v>
      </c>
      <c r="G238" s="1" t="s">
        <v>62</v>
      </c>
      <c r="H238" s="1" t="s">
        <v>19</v>
      </c>
      <c r="I238" s="3">
        <v>3</v>
      </c>
      <c r="J238" s="3">
        <v>899.99</v>
      </c>
      <c r="K238" s="1" t="s">
        <v>34</v>
      </c>
      <c r="L238" s="1" t="s">
        <v>40</v>
      </c>
      <c r="M238" s="1" t="s">
        <v>22</v>
      </c>
      <c r="N238" s="2">
        <v>44975</v>
      </c>
      <c r="O238" s="5">
        <v>2699.97</v>
      </c>
    </row>
    <row r="239" spans="2:15" ht="15" thickBot="1" x14ac:dyDescent="0.4">
      <c r="B239" s="4" t="s">
        <v>384</v>
      </c>
      <c r="C239" s="2">
        <v>45739</v>
      </c>
      <c r="D239" s="1" t="s">
        <v>15</v>
      </c>
      <c r="E239" s="1" t="s">
        <v>16</v>
      </c>
      <c r="F239" s="1" t="s">
        <v>105</v>
      </c>
      <c r="G239" s="1" t="s">
        <v>106</v>
      </c>
      <c r="H239" s="1" t="s">
        <v>46</v>
      </c>
      <c r="I239" s="3">
        <v>3</v>
      </c>
      <c r="J239" s="3">
        <v>299.99</v>
      </c>
      <c r="K239" s="1" t="s">
        <v>26</v>
      </c>
      <c r="L239" s="1" t="s">
        <v>50</v>
      </c>
      <c r="M239" s="1" t="s">
        <v>27</v>
      </c>
      <c r="N239" s="2">
        <v>45234</v>
      </c>
      <c r="O239" s="5">
        <v>899.97</v>
      </c>
    </row>
    <row r="240" spans="2:15" ht="15" thickBot="1" x14ac:dyDescent="0.4">
      <c r="B240" s="4" t="s">
        <v>385</v>
      </c>
      <c r="C240" s="2">
        <v>45740</v>
      </c>
      <c r="D240" s="1" t="s">
        <v>386</v>
      </c>
      <c r="E240" s="1" t="s">
        <v>387</v>
      </c>
      <c r="F240" s="1" t="s">
        <v>44</v>
      </c>
      <c r="G240" s="1" t="s">
        <v>45</v>
      </c>
      <c r="H240" s="1" t="s">
        <v>46</v>
      </c>
      <c r="I240" s="3">
        <v>4</v>
      </c>
      <c r="J240" s="3">
        <v>149.99</v>
      </c>
      <c r="K240" s="1" t="s">
        <v>34</v>
      </c>
      <c r="L240" s="1" t="s">
        <v>50</v>
      </c>
      <c r="M240" s="1" t="s">
        <v>36</v>
      </c>
      <c r="N240" s="2">
        <v>44560</v>
      </c>
      <c r="O240" s="5">
        <v>599.96</v>
      </c>
    </row>
    <row r="241" spans="2:15" ht="15" thickBot="1" x14ac:dyDescent="0.4">
      <c r="B241" s="4" t="s">
        <v>388</v>
      </c>
      <c r="C241" s="2">
        <v>45743</v>
      </c>
      <c r="D241" s="1" t="s">
        <v>102</v>
      </c>
      <c r="E241" s="1" t="s">
        <v>103</v>
      </c>
      <c r="F241" s="1" t="s">
        <v>114</v>
      </c>
      <c r="G241" s="1" t="s">
        <v>115</v>
      </c>
      <c r="H241" s="1" t="s">
        <v>33</v>
      </c>
      <c r="I241" s="3">
        <v>4</v>
      </c>
      <c r="J241" s="3">
        <v>79.989999999999995</v>
      </c>
      <c r="K241" s="1" t="s">
        <v>26</v>
      </c>
      <c r="L241" s="1" t="s">
        <v>21</v>
      </c>
      <c r="M241" s="1" t="s">
        <v>22</v>
      </c>
      <c r="N241" s="2">
        <v>45288</v>
      </c>
      <c r="O241" s="5">
        <v>319.95999999999998</v>
      </c>
    </row>
    <row r="242" spans="2:15" ht="15" thickBot="1" x14ac:dyDescent="0.4">
      <c r="B242" s="4" t="s">
        <v>389</v>
      </c>
      <c r="C242" s="2">
        <v>45745</v>
      </c>
      <c r="D242" s="1" t="s">
        <v>185</v>
      </c>
      <c r="E242" s="1" t="s">
        <v>186</v>
      </c>
      <c r="F242" s="1" t="s">
        <v>117</v>
      </c>
      <c r="G242" s="1" t="s">
        <v>118</v>
      </c>
      <c r="H242" s="1" t="s">
        <v>19</v>
      </c>
      <c r="I242" s="3">
        <v>5</v>
      </c>
      <c r="J242" s="3">
        <v>89.99</v>
      </c>
      <c r="K242" s="1" t="s">
        <v>34</v>
      </c>
      <c r="L242" s="1" t="s">
        <v>35</v>
      </c>
      <c r="M242" s="1" t="s">
        <v>22</v>
      </c>
      <c r="N242" s="2">
        <v>44704</v>
      </c>
      <c r="O242" s="5">
        <v>449.95</v>
      </c>
    </row>
    <row r="243" spans="2:15" ht="15" thickBot="1" x14ac:dyDescent="0.4">
      <c r="B243" s="4" t="s">
        <v>390</v>
      </c>
      <c r="C243" s="2">
        <v>45746</v>
      </c>
      <c r="D243" s="1" t="s">
        <v>93</v>
      </c>
      <c r="E243" s="1" t="s">
        <v>94</v>
      </c>
      <c r="F243" s="1" t="s">
        <v>44</v>
      </c>
      <c r="G243" s="1" t="s">
        <v>45</v>
      </c>
      <c r="H243" s="1" t="s">
        <v>46</v>
      </c>
      <c r="I243" s="3">
        <v>3</v>
      </c>
      <c r="J243" s="3">
        <v>149.99</v>
      </c>
      <c r="K243" s="1" t="s">
        <v>34</v>
      </c>
      <c r="L243" s="1" t="s">
        <v>21</v>
      </c>
      <c r="M243" s="1" t="s">
        <v>36</v>
      </c>
      <c r="N243" s="2">
        <v>45171</v>
      </c>
      <c r="O243" s="5">
        <v>449.97</v>
      </c>
    </row>
    <row r="244" spans="2:15" ht="15" thickBot="1" x14ac:dyDescent="0.4">
      <c r="B244" s="4" t="s">
        <v>391</v>
      </c>
      <c r="C244" s="2">
        <v>45746</v>
      </c>
      <c r="D244" s="1" t="s">
        <v>65</v>
      </c>
      <c r="E244" s="1" t="s">
        <v>66</v>
      </c>
      <c r="F244" s="1" t="s">
        <v>117</v>
      </c>
      <c r="G244" s="1" t="s">
        <v>118</v>
      </c>
      <c r="H244" s="1" t="s">
        <v>19</v>
      </c>
      <c r="I244" s="3">
        <v>2</v>
      </c>
      <c r="J244" s="3">
        <v>89.99</v>
      </c>
      <c r="K244" s="1" t="s">
        <v>57</v>
      </c>
      <c r="L244" s="1" t="s">
        <v>50</v>
      </c>
      <c r="M244" s="1" t="s">
        <v>27</v>
      </c>
      <c r="N244" s="2">
        <v>44522</v>
      </c>
      <c r="O244" s="5">
        <v>179.98</v>
      </c>
    </row>
    <row r="245" spans="2:15" ht="15" thickBot="1" x14ac:dyDescent="0.4">
      <c r="B245" s="4" t="s">
        <v>392</v>
      </c>
      <c r="C245" s="2">
        <v>45748</v>
      </c>
      <c r="D245" s="1" t="s">
        <v>102</v>
      </c>
      <c r="E245" s="1" t="s">
        <v>103</v>
      </c>
      <c r="F245" s="1" t="s">
        <v>80</v>
      </c>
      <c r="G245" s="1" t="s">
        <v>81</v>
      </c>
      <c r="H245" s="1" t="s">
        <v>19</v>
      </c>
      <c r="I245" s="3">
        <v>2</v>
      </c>
      <c r="J245" s="3">
        <v>699.99</v>
      </c>
      <c r="K245" s="1" t="s">
        <v>34</v>
      </c>
      <c r="L245" s="1" t="s">
        <v>40</v>
      </c>
      <c r="M245" s="1" t="s">
        <v>36</v>
      </c>
      <c r="N245" s="2">
        <v>44618</v>
      </c>
      <c r="O245" s="5">
        <v>1399.98</v>
      </c>
    </row>
    <row r="246" spans="2:15" ht="15" thickBot="1" x14ac:dyDescent="0.4">
      <c r="B246" s="4" t="s">
        <v>393</v>
      </c>
      <c r="C246" s="2">
        <v>45749</v>
      </c>
      <c r="D246" s="1" t="s">
        <v>123</v>
      </c>
      <c r="E246" s="1" t="s">
        <v>124</v>
      </c>
      <c r="F246" s="1" t="s">
        <v>61</v>
      </c>
      <c r="G246" s="1" t="s">
        <v>62</v>
      </c>
      <c r="H246" s="1" t="s">
        <v>19</v>
      </c>
      <c r="I246" s="3">
        <v>3</v>
      </c>
      <c r="J246" s="3">
        <v>899.99</v>
      </c>
      <c r="K246" s="1" t="s">
        <v>20</v>
      </c>
      <c r="L246" s="1" t="s">
        <v>21</v>
      </c>
      <c r="M246" s="1" t="s">
        <v>36</v>
      </c>
      <c r="N246" s="2">
        <v>44953</v>
      </c>
      <c r="O246" s="5">
        <v>2699.97</v>
      </c>
    </row>
    <row r="247" spans="2:15" ht="15" thickBot="1" x14ac:dyDescent="0.4">
      <c r="B247" s="4" t="s">
        <v>394</v>
      </c>
      <c r="C247" s="2">
        <v>45755</v>
      </c>
      <c r="D247" s="1" t="s">
        <v>93</v>
      </c>
      <c r="E247" s="1" t="s">
        <v>94</v>
      </c>
      <c r="F247" s="1" t="s">
        <v>114</v>
      </c>
      <c r="G247" s="1" t="s">
        <v>115</v>
      </c>
      <c r="H247" s="1" t="s">
        <v>33</v>
      </c>
      <c r="I247" s="3">
        <v>3</v>
      </c>
      <c r="J247" s="3">
        <v>79.989999999999995</v>
      </c>
      <c r="K247" s="1" t="s">
        <v>26</v>
      </c>
      <c r="L247" s="1" t="s">
        <v>40</v>
      </c>
      <c r="M247" s="1" t="s">
        <v>22</v>
      </c>
      <c r="N247" s="2">
        <v>44511</v>
      </c>
      <c r="O247" s="5">
        <v>239.97</v>
      </c>
    </row>
    <row r="248" spans="2:15" ht="15" thickBot="1" x14ac:dyDescent="0.4">
      <c r="B248" s="4" t="s">
        <v>395</v>
      </c>
      <c r="C248" s="2">
        <v>45756</v>
      </c>
      <c r="D248" s="1" t="s">
        <v>59</v>
      </c>
      <c r="E248" s="1" t="s">
        <v>60</v>
      </c>
      <c r="F248" s="1" t="s">
        <v>117</v>
      </c>
      <c r="G248" s="1" t="s">
        <v>118</v>
      </c>
      <c r="H248" s="1" t="s">
        <v>19</v>
      </c>
      <c r="I248" s="3">
        <v>1</v>
      </c>
      <c r="J248" s="3">
        <v>89.99</v>
      </c>
      <c r="K248" s="1" t="s">
        <v>57</v>
      </c>
      <c r="L248" s="1" t="s">
        <v>63</v>
      </c>
      <c r="M248" s="1" t="s">
        <v>22</v>
      </c>
      <c r="N248" s="2">
        <v>45346</v>
      </c>
      <c r="O248" s="5">
        <v>89.99</v>
      </c>
    </row>
    <row r="249" spans="2:15" ht="15" thickBot="1" x14ac:dyDescent="0.4">
      <c r="B249" s="4" t="s">
        <v>396</v>
      </c>
      <c r="C249" s="2">
        <v>45758</v>
      </c>
      <c r="D249" s="1" t="s">
        <v>293</v>
      </c>
      <c r="E249" s="1" t="s">
        <v>294</v>
      </c>
      <c r="F249" s="1" t="s">
        <v>80</v>
      </c>
      <c r="G249" s="1" t="s">
        <v>81</v>
      </c>
      <c r="H249" s="1" t="s">
        <v>19</v>
      </c>
      <c r="I249" s="3">
        <v>3</v>
      </c>
      <c r="J249" s="3">
        <v>699.99</v>
      </c>
      <c r="K249" s="1" t="s">
        <v>34</v>
      </c>
      <c r="L249" s="1" t="s">
        <v>40</v>
      </c>
      <c r="M249" s="1" t="s">
        <v>22</v>
      </c>
      <c r="N249" s="2">
        <v>44909</v>
      </c>
      <c r="O249" s="5">
        <v>2099.9699999999998</v>
      </c>
    </row>
    <row r="250" spans="2:15" ht="15" thickBot="1" x14ac:dyDescent="0.4">
      <c r="B250" s="4" t="s">
        <v>397</v>
      </c>
      <c r="C250" s="2">
        <v>45758</v>
      </c>
      <c r="D250" s="1" t="s">
        <v>226</v>
      </c>
      <c r="E250" s="1" t="s">
        <v>227</v>
      </c>
      <c r="F250" s="1" t="s">
        <v>117</v>
      </c>
      <c r="G250" s="1" t="s">
        <v>118</v>
      </c>
      <c r="H250" s="1" t="s">
        <v>19</v>
      </c>
      <c r="I250" s="3">
        <v>2</v>
      </c>
      <c r="J250" s="3">
        <v>89.99</v>
      </c>
      <c r="K250" s="1" t="s">
        <v>57</v>
      </c>
      <c r="L250" s="1" t="s">
        <v>63</v>
      </c>
      <c r="M250" s="1" t="s">
        <v>22</v>
      </c>
      <c r="N250" s="2">
        <v>45088</v>
      </c>
      <c r="O250" s="5">
        <v>179.98</v>
      </c>
    </row>
    <row r="251" spans="2:15" x14ac:dyDescent="0.35">
      <c r="B251" s="9" t="s">
        <v>398</v>
      </c>
      <c r="C251" s="10">
        <v>45758</v>
      </c>
      <c r="D251" s="11" t="s">
        <v>138</v>
      </c>
      <c r="E251" s="11" t="s">
        <v>139</v>
      </c>
      <c r="F251" s="11" t="s">
        <v>117</v>
      </c>
      <c r="G251" s="11" t="s">
        <v>118</v>
      </c>
      <c r="H251" s="11" t="s">
        <v>19</v>
      </c>
      <c r="I251" s="12">
        <v>3</v>
      </c>
      <c r="J251" s="12">
        <v>89.99</v>
      </c>
      <c r="K251" s="11" t="s">
        <v>57</v>
      </c>
      <c r="L251" s="11" t="s">
        <v>40</v>
      </c>
      <c r="M251" s="11" t="s">
        <v>27</v>
      </c>
      <c r="N251" s="10">
        <v>44878</v>
      </c>
      <c r="O251" s="13">
        <v>269.97000000000003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7CCA-F7C7-4835-A890-FA228BED7EA4}">
  <dimension ref="A1:BB252"/>
  <sheetViews>
    <sheetView topLeftCell="Z24" zoomScale="73" zoomScaleNormal="109" workbookViewId="0">
      <selection activeCell="AE51" sqref="AE51"/>
    </sheetView>
  </sheetViews>
  <sheetFormatPr defaultRowHeight="14.5" x14ac:dyDescent="0.35"/>
  <cols>
    <col min="1" max="1" width="20.1796875" style="14" customWidth="1"/>
    <col min="2" max="2" width="14.26953125" style="14" customWidth="1"/>
    <col min="3" max="3" width="17.453125" style="14" customWidth="1"/>
    <col min="4" max="4" width="21.26953125" style="14" customWidth="1"/>
    <col min="5" max="5" width="15.6328125" style="14" customWidth="1"/>
    <col min="6" max="6" width="19.453125" style="14" customWidth="1"/>
    <col min="7" max="7" width="13.08984375" style="14" customWidth="1"/>
    <col min="8" max="8" width="12.7265625" style="14" customWidth="1"/>
    <col min="9" max="9" width="11.08984375" style="14" customWidth="1"/>
    <col min="10" max="10" width="14.90625" style="14" customWidth="1"/>
    <col min="11" max="11" width="22.36328125" style="14" customWidth="1"/>
    <col min="12" max="12" width="24.90625" style="14" customWidth="1"/>
    <col min="13" max="13" width="18.7265625" style="14" customWidth="1"/>
    <col min="14" max="15" width="21.453125" style="14" customWidth="1"/>
    <col min="16" max="18" width="14.36328125" customWidth="1"/>
    <col min="19" max="19" width="13" style="14" customWidth="1"/>
    <col min="20" max="20" width="17.453125" style="14" bestFit="1" customWidth="1"/>
    <col min="21" max="21" width="8.7265625" style="14"/>
    <col min="22" max="22" width="15.08984375" style="14" customWidth="1"/>
    <col min="23" max="23" width="13.1796875" style="14" customWidth="1"/>
    <col min="24" max="24" width="13.1796875" customWidth="1"/>
    <col min="25" max="25" width="16.36328125" style="14" customWidth="1"/>
    <col min="26" max="26" width="26.08984375" style="14" customWidth="1"/>
    <col min="27" max="28" width="18.90625" style="14" customWidth="1"/>
    <col min="29" max="30" width="8.7265625" style="14"/>
    <col min="31" max="31" width="13.7265625" style="14" customWidth="1"/>
    <col min="32" max="33" width="8.7265625" style="14"/>
    <col min="34" max="34" width="12.26953125" style="14" bestFit="1" customWidth="1"/>
    <col min="35" max="40" width="8.7265625" style="14"/>
    <col min="41" max="41" width="18.90625" customWidth="1"/>
    <col min="42" max="42" width="19.90625" style="14" customWidth="1"/>
    <col min="43" max="43" width="13.1796875" style="14" customWidth="1"/>
    <col min="44" max="45" width="12.26953125" style="14" customWidth="1"/>
    <col min="46" max="46" width="12.26953125" customWidth="1"/>
    <col min="47" max="47" width="15.26953125" style="14" customWidth="1"/>
    <col min="48" max="48" width="15.26953125" customWidth="1"/>
    <col min="49" max="50" width="11.26953125" style="14" customWidth="1"/>
    <col min="51" max="51" width="14.7265625" style="14" customWidth="1"/>
    <col min="52" max="52" width="15.54296875" style="14" bestFit="1" customWidth="1"/>
    <col min="53" max="54" width="11.7265625" style="14" customWidth="1"/>
    <col min="55" max="16384" width="8.7265625" style="14"/>
  </cols>
  <sheetData>
    <row r="1" spans="1:54" ht="14" customHeight="1" thickBot="1" x14ac:dyDescent="0.4">
      <c r="A1" s="28" t="s">
        <v>0</v>
      </c>
      <c r="B1" s="29" t="s">
        <v>1</v>
      </c>
      <c r="C1" s="29" t="s">
        <v>2</v>
      </c>
      <c r="D1" s="29" t="s">
        <v>3</v>
      </c>
      <c r="E1" s="29" t="s">
        <v>4</v>
      </c>
      <c r="F1" s="29" t="s">
        <v>5</v>
      </c>
      <c r="G1" s="29" t="s">
        <v>6</v>
      </c>
      <c r="H1" s="29" t="s">
        <v>7</v>
      </c>
      <c r="I1" s="29" t="s">
        <v>10</v>
      </c>
      <c r="J1" s="29" t="s">
        <v>8</v>
      </c>
      <c r="K1" s="29" t="s">
        <v>9</v>
      </c>
      <c r="L1" s="29" t="s">
        <v>11</v>
      </c>
      <c r="M1" s="29" t="s">
        <v>13</v>
      </c>
      <c r="N1" s="30" t="s">
        <v>12</v>
      </c>
      <c r="O1" s="41"/>
      <c r="P1" s="54" t="s">
        <v>422</v>
      </c>
      <c r="Q1" s="54"/>
      <c r="S1" s="56" t="s">
        <v>399</v>
      </c>
      <c r="T1" s="56" t="s">
        <v>400</v>
      </c>
      <c r="U1" s="56" t="s">
        <v>401</v>
      </c>
      <c r="V1" s="56" t="s">
        <v>406</v>
      </c>
      <c r="W1" s="56" t="s">
        <v>402</v>
      </c>
      <c r="Y1" s="56" t="s">
        <v>419</v>
      </c>
      <c r="Z1" s="57" t="s">
        <v>420</v>
      </c>
      <c r="AA1" s="57" t="s">
        <v>421</v>
      </c>
      <c r="AB1"/>
      <c r="AC1" s="81" t="s">
        <v>447</v>
      </c>
      <c r="AD1" s="81" t="s">
        <v>448</v>
      </c>
      <c r="AE1" s="75" t="s">
        <v>449</v>
      </c>
      <c r="AF1" s="78"/>
      <c r="AG1" s="79" t="s">
        <v>450</v>
      </c>
      <c r="AH1" s="79"/>
      <c r="AI1" s="79"/>
      <c r="AJ1" s="79"/>
      <c r="AK1" s="79"/>
      <c r="AL1" s="79"/>
      <c r="AM1" s="79"/>
      <c r="AN1" s="79"/>
      <c r="AP1" s="58" t="s">
        <v>403</v>
      </c>
      <c r="AQ1" s="59"/>
      <c r="AR1" s="59"/>
      <c r="AS1" s="59"/>
      <c r="AU1" s="56" t="s">
        <v>412</v>
      </c>
      <c r="AW1" s="56" t="s">
        <v>414</v>
      </c>
      <c r="AX1"/>
      <c r="AY1" s="56" t="s">
        <v>416</v>
      </c>
      <c r="AZ1" s="56" t="s">
        <v>418</v>
      </c>
      <c r="BA1" s="56" t="s">
        <v>417</v>
      </c>
      <c r="BB1" s="60" t="s">
        <v>432</v>
      </c>
    </row>
    <row r="2" spans="1:54" ht="14" customHeight="1" x14ac:dyDescent="0.35">
      <c r="A2" s="31" t="s">
        <v>14</v>
      </c>
      <c r="B2" s="22">
        <v>45393</v>
      </c>
      <c r="C2" s="22" t="s">
        <v>15</v>
      </c>
      <c r="D2" s="22" t="s">
        <v>16</v>
      </c>
      <c r="E2" s="22" t="s">
        <v>17</v>
      </c>
      <c r="F2" s="22" t="s">
        <v>18</v>
      </c>
      <c r="G2" s="22" t="s">
        <v>19</v>
      </c>
      <c r="H2" s="22">
        <v>3</v>
      </c>
      <c r="I2" s="22" t="s">
        <v>21</v>
      </c>
      <c r="J2" s="22">
        <v>249.99</v>
      </c>
      <c r="K2" s="22" t="s">
        <v>20</v>
      </c>
      <c r="L2" s="22" t="s">
        <v>22</v>
      </c>
      <c r="M2" s="22">
        <v>749.97</v>
      </c>
      <c r="N2" s="32">
        <v>44425</v>
      </c>
      <c r="O2" s="41"/>
      <c r="P2" s="50" t="s">
        <v>439</v>
      </c>
      <c r="Q2" s="50"/>
      <c r="S2" s="36">
        <f t="shared" ref="S2:S65" ca="1" si="0">TODAY()</f>
        <v>45985</v>
      </c>
      <c r="T2" s="37">
        <f t="shared" ref="T2:T65" ca="1" si="1">NOW()</f>
        <v>45985.990154513885</v>
      </c>
      <c r="U2" s="38">
        <f ca="1">DATEDIF(N2,S2,"y")</f>
        <v>4</v>
      </c>
      <c r="V2" s="39">
        <f t="shared" ref="V2:V65" ca="1" si="2">IF(F2&lt;&gt;"", IF(N2="", NOW(), N2), "")</f>
        <v>44425</v>
      </c>
      <c r="W2" s="39">
        <f t="shared" ref="W2:W33" si="3">EOMONTH(N2,3)</f>
        <v>44530</v>
      </c>
      <c r="Y2" s="38" t="str">
        <f t="shared" ref="Y2:Y65" si="4">UPPER(LEFT(D2,1) &amp; MID(D2, FIND(" ", D2)+1, 1))</f>
        <v>PB</v>
      </c>
      <c r="Z2" s="38" t="str">
        <f t="shared" ref="Z2:Z65" si="5">UPPER(D2)</f>
        <v>PAUL BAKER</v>
      </c>
      <c r="AA2" s="38" t="str">
        <f t="shared" ref="AA2:AA65" si="6">LOWER(D2)</f>
        <v>paul baker</v>
      </c>
      <c r="AB2" s="40"/>
      <c r="AC2" s="80" t="s">
        <v>431</v>
      </c>
      <c r="AD2" s="80" t="s">
        <v>430</v>
      </c>
      <c r="AE2" s="80" t="s">
        <v>451</v>
      </c>
      <c r="AF2"/>
      <c r="AG2" s="80" t="s">
        <v>452</v>
      </c>
      <c r="AH2" s="80" t="s">
        <v>453</v>
      </c>
      <c r="AI2" s="80" t="s">
        <v>454</v>
      </c>
      <c r="AJ2" s="80" t="s">
        <v>455</v>
      </c>
      <c r="AK2" s="80" t="s">
        <v>456</v>
      </c>
      <c r="AL2" s="80" t="s">
        <v>457</v>
      </c>
      <c r="AM2" s="80" t="s">
        <v>458</v>
      </c>
      <c r="AN2" s="80" t="s">
        <v>459</v>
      </c>
      <c r="AP2" s="52" t="s">
        <v>404</v>
      </c>
      <c r="AQ2" s="52" t="s">
        <v>405</v>
      </c>
      <c r="AR2" s="52" t="s">
        <v>10</v>
      </c>
      <c r="AS2" s="52" t="s">
        <v>411</v>
      </c>
      <c r="AU2" s="53" t="s">
        <v>413</v>
      </c>
      <c r="AW2" s="53" t="s">
        <v>415</v>
      </c>
      <c r="AX2"/>
      <c r="AY2" s="15" t="str" cm="1">
        <f t="array" ref="AY2">INDEX(D2:D251,MATCH(_xlfn.MODE.SNGL(COUNTIF(D2:D251,D2:D251)),COUNTIF(D2:D251,D2:D251),0))</f>
        <v>Joseph Jackson</v>
      </c>
      <c r="AZ2" s="15" t="str" cm="1">
        <f t="array" ref="AZ2">INDEX(F2:F251,MATCH(_xlfn.MODE.SNGL(COUNTIF(F2:F251,F2:F251)),COUNTIF(F2:F251,F2:F251),0))</f>
        <v>Monitor</v>
      </c>
      <c r="BA2" s="15" t="str" cm="1">
        <f t="array" ref="BA2">INDEX(I2:I251,MATCH(_xlfn.MODE.SNGL(COUNTIF(I2:I251,I2:I251)),COUNTIF(I2:I251,I2:I251),0))</f>
        <v>North</v>
      </c>
      <c r="BB2" s="15">
        <f>SUM(Table2[Total_Amount])</f>
        <v>229192.47000000032</v>
      </c>
    </row>
    <row r="3" spans="1:54" ht="14" customHeight="1" x14ac:dyDescent="0.35">
      <c r="A3" s="31" t="s">
        <v>23</v>
      </c>
      <c r="B3" s="22">
        <v>45396</v>
      </c>
      <c r="C3" s="22" t="s">
        <v>24</v>
      </c>
      <c r="D3" s="22" t="s">
        <v>25</v>
      </c>
      <c r="E3" s="22" t="s">
        <v>17</v>
      </c>
      <c r="F3" s="22" t="s">
        <v>18</v>
      </c>
      <c r="G3" s="22" t="s">
        <v>19</v>
      </c>
      <c r="H3" s="22">
        <v>3</v>
      </c>
      <c r="I3" s="22" t="s">
        <v>21</v>
      </c>
      <c r="J3" s="22">
        <v>249.99</v>
      </c>
      <c r="K3" s="22" t="s">
        <v>26</v>
      </c>
      <c r="L3" s="22" t="s">
        <v>27</v>
      </c>
      <c r="M3" s="22">
        <v>749.97</v>
      </c>
      <c r="N3" s="32">
        <v>44575</v>
      </c>
      <c r="O3" s="41"/>
      <c r="P3" s="22" t="s">
        <v>430</v>
      </c>
      <c r="Q3" s="22">
        <f>J2</f>
        <v>249.99</v>
      </c>
      <c r="S3" s="27">
        <f t="shared" ca="1" si="0"/>
        <v>45985</v>
      </c>
      <c r="T3" s="19">
        <f t="shared" ca="1" si="1"/>
        <v>45985.990154513885</v>
      </c>
      <c r="U3" s="15">
        <f t="shared" ref="U3:U66" ca="1" si="7">DATEDIF(N3,S3,"y")</f>
        <v>3</v>
      </c>
      <c r="V3" s="20">
        <f t="shared" ca="1" si="2"/>
        <v>44575</v>
      </c>
      <c r="W3" s="20">
        <f t="shared" si="3"/>
        <v>44681</v>
      </c>
      <c r="Y3" s="15" t="str">
        <f t="shared" si="4"/>
        <v>JJ</v>
      </c>
      <c r="Z3" s="15" t="str">
        <f t="shared" si="5"/>
        <v>JOSEPH JACKSON</v>
      </c>
      <c r="AA3" s="15" t="str">
        <f t="shared" si="6"/>
        <v>joseph jackson</v>
      </c>
      <c r="AB3" s="40"/>
      <c r="AC3" s="82">
        <v>1</v>
      </c>
      <c r="AD3" s="83">
        <v>125</v>
      </c>
      <c r="AE3" s="84">
        <f>$AH$11*AC3+$AH$12</f>
        <v>117.5</v>
      </c>
      <c r="AF3"/>
      <c r="AG3" s="71">
        <f>AVERAGE(AC3:AC5)</f>
        <v>2</v>
      </c>
      <c r="AH3" s="72">
        <f>AVERAGE(AD3:AD5)</f>
        <v>155</v>
      </c>
      <c r="AI3" s="73">
        <f>AC3-$AG$3</f>
        <v>-1</v>
      </c>
      <c r="AJ3" s="74">
        <f>AD3-$AH$3</f>
        <v>-30</v>
      </c>
      <c r="AK3" s="74">
        <f>AI3*AJ3</f>
        <v>30</v>
      </c>
      <c r="AL3" s="72">
        <f>SUM(AK3:AK6)</f>
        <v>75</v>
      </c>
      <c r="AM3" s="73">
        <f>AI3*AI3</f>
        <v>1</v>
      </c>
      <c r="AN3" s="71">
        <f>SUM(AM3:AM6)</f>
        <v>2</v>
      </c>
      <c r="AP3" s="18" t="str" cm="1">
        <f t="array" ref="AP3:AQ24">_xlfn._xlws.FILTER(L2:M251,(L2:L251="premium")*(M2:M251&gt;1000),"no matching data")</f>
        <v>Premium</v>
      </c>
      <c r="AQ3" s="17">
        <v>1199.96</v>
      </c>
      <c r="AR3" s="15" t="str" cm="1">
        <f t="array" ref="AR3:AS103">_xlfn._xlws.FILTER(I2:J251, (I2:I251="North") + (I2:I251="South"))</f>
        <v>South</v>
      </c>
      <c r="AS3" s="15">
        <v>59.99</v>
      </c>
      <c r="AU3" s="15" t="str" cm="1">
        <f t="array" ref="AU3:AU52">_xlfn.UNIQUE(D2:D251)</f>
        <v>Paul Baker</v>
      </c>
      <c r="AW3" s="15">
        <f>SUMIFS(M2:M251, D2:D251, AU3)</f>
        <v>8309.739999999998</v>
      </c>
      <c r="AX3"/>
    </row>
    <row r="4" spans="1:54" ht="14" customHeight="1" x14ac:dyDescent="0.35">
      <c r="A4" s="31" t="s">
        <v>28</v>
      </c>
      <c r="B4" s="22">
        <v>45399</v>
      </c>
      <c r="C4" s="22" t="s">
        <v>29</v>
      </c>
      <c r="D4" s="22" t="s">
        <v>30</v>
      </c>
      <c r="E4" s="22" t="s">
        <v>31</v>
      </c>
      <c r="F4" s="22" t="s">
        <v>32</v>
      </c>
      <c r="G4" s="22" t="s">
        <v>33</v>
      </c>
      <c r="H4" s="22">
        <v>3</v>
      </c>
      <c r="I4" s="22" t="s">
        <v>35</v>
      </c>
      <c r="J4" s="22">
        <v>59.99</v>
      </c>
      <c r="K4" s="22" t="s">
        <v>34</v>
      </c>
      <c r="L4" s="22" t="s">
        <v>36</v>
      </c>
      <c r="M4" s="22">
        <v>179.97</v>
      </c>
      <c r="N4" s="32">
        <v>45262</v>
      </c>
      <c r="O4" s="41"/>
      <c r="P4" s="22" t="s">
        <v>431</v>
      </c>
      <c r="Q4" s="22">
        <v>5</v>
      </c>
      <c r="S4" s="26">
        <f t="shared" ca="1" si="0"/>
        <v>45985</v>
      </c>
      <c r="T4" s="19">
        <f t="shared" ca="1" si="1"/>
        <v>45985.990154513885</v>
      </c>
      <c r="U4" s="15">
        <f t="shared" ca="1" si="7"/>
        <v>1</v>
      </c>
      <c r="V4" s="20">
        <f t="shared" ca="1" si="2"/>
        <v>45262</v>
      </c>
      <c r="W4" s="20">
        <f t="shared" si="3"/>
        <v>45382</v>
      </c>
      <c r="Y4" s="15" t="str">
        <f t="shared" si="4"/>
        <v>KS</v>
      </c>
      <c r="Z4" s="15" t="str">
        <f t="shared" si="5"/>
        <v>KEVIN SCOTT</v>
      </c>
      <c r="AA4" s="15" t="str">
        <f t="shared" si="6"/>
        <v>kevin scott</v>
      </c>
      <c r="AB4" s="40"/>
      <c r="AC4" s="82">
        <v>2</v>
      </c>
      <c r="AD4" s="83">
        <v>140</v>
      </c>
      <c r="AE4" s="84">
        <f>$AH$11*AC4+$AH$12</f>
        <v>155</v>
      </c>
      <c r="AF4"/>
      <c r="AG4" s="71"/>
      <c r="AH4" s="72"/>
      <c r="AI4" s="73">
        <f>AC4-$AG$3</f>
        <v>0</v>
      </c>
      <c r="AJ4" s="74">
        <f>AD4-$AH$3</f>
        <v>-15</v>
      </c>
      <c r="AK4" s="73">
        <f t="shared" ref="AK4:AK5" si="8">AI4*AJ4</f>
        <v>0</v>
      </c>
      <c r="AL4" s="72"/>
      <c r="AM4" s="73">
        <f t="shared" ref="AM4:AM5" si="9">AI4*AI4</f>
        <v>0</v>
      </c>
      <c r="AN4" s="71"/>
      <c r="AP4" s="18" t="str">
        <v>Premium</v>
      </c>
      <c r="AQ4" s="17">
        <v>4499.95</v>
      </c>
      <c r="AR4" s="15" t="str">
        <v>North</v>
      </c>
      <c r="AS4" s="15">
        <v>59.99</v>
      </c>
      <c r="AU4" s="15" t="str">
        <v>Joseph Jackson</v>
      </c>
      <c r="AW4" s="15">
        <f t="shared" ref="AW4:AW52" si="10">SUMIFS(M3:M252, D3:D252, AU4)</f>
        <v>6949.84</v>
      </c>
      <c r="AX4" s="40"/>
    </row>
    <row r="5" spans="1:54" ht="14" customHeight="1" x14ac:dyDescent="0.35">
      <c r="A5" s="31" t="s">
        <v>37</v>
      </c>
      <c r="B5" s="22">
        <v>45400</v>
      </c>
      <c r="C5" s="22" t="s">
        <v>38</v>
      </c>
      <c r="D5" s="22" t="s">
        <v>39</v>
      </c>
      <c r="E5" s="22" t="s">
        <v>31</v>
      </c>
      <c r="F5" s="22" t="s">
        <v>32</v>
      </c>
      <c r="G5" s="22" t="s">
        <v>33</v>
      </c>
      <c r="H5" s="22">
        <v>3</v>
      </c>
      <c r="I5" s="22" t="s">
        <v>40</v>
      </c>
      <c r="J5" s="22">
        <v>59.99</v>
      </c>
      <c r="K5" s="22" t="s">
        <v>20</v>
      </c>
      <c r="L5" s="22" t="s">
        <v>27</v>
      </c>
      <c r="M5" s="22">
        <v>179.97</v>
      </c>
      <c r="N5" s="32">
        <v>45114</v>
      </c>
      <c r="O5" s="41"/>
      <c r="P5" s="22" t="s">
        <v>432</v>
      </c>
      <c r="Q5" s="22">
        <f>Q3*Q4</f>
        <v>1249.95</v>
      </c>
      <c r="S5" s="27">
        <f t="shared" ca="1" si="0"/>
        <v>45985</v>
      </c>
      <c r="T5" s="19">
        <f t="shared" ca="1" si="1"/>
        <v>45985.990154629631</v>
      </c>
      <c r="U5" s="15">
        <f t="shared" ca="1" si="7"/>
        <v>2</v>
      </c>
      <c r="V5" s="20">
        <f t="shared" ca="1" si="2"/>
        <v>45114</v>
      </c>
      <c r="W5" s="20">
        <f t="shared" si="3"/>
        <v>45230</v>
      </c>
      <c r="Y5" s="15" t="str">
        <f t="shared" si="4"/>
        <v>KB</v>
      </c>
      <c r="Z5" s="15" t="str">
        <f t="shared" si="5"/>
        <v>KATHLEEN BENNETT</v>
      </c>
      <c r="AA5" s="15" t="str">
        <f t="shared" si="6"/>
        <v>kathleen bennett</v>
      </c>
      <c r="AB5" s="40"/>
      <c r="AC5" s="82">
        <v>3</v>
      </c>
      <c r="AD5" s="83">
        <v>200</v>
      </c>
      <c r="AE5" s="84">
        <f>$AH$11*AC5+$AH$12</f>
        <v>192.5</v>
      </c>
      <c r="AF5"/>
      <c r="AG5" s="71"/>
      <c r="AH5" s="72"/>
      <c r="AI5" s="73">
        <f>AC5-$AG$3</f>
        <v>1</v>
      </c>
      <c r="AJ5" s="74">
        <f>AD5-$AH$3</f>
        <v>45</v>
      </c>
      <c r="AK5" s="73">
        <f t="shared" si="8"/>
        <v>45</v>
      </c>
      <c r="AL5" s="72"/>
      <c r="AM5" s="73">
        <f t="shared" si="9"/>
        <v>1</v>
      </c>
      <c r="AN5" s="71"/>
      <c r="AP5" s="18" t="str">
        <v>Premium</v>
      </c>
      <c r="AQ5" s="17">
        <v>2099.9699999999998</v>
      </c>
      <c r="AR5" s="15" t="str">
        <v>North</v>
      </c>
      <c r="AS5" s="15">
        <v>149.99</v>
      </c>
      <c r="AU5" s="15" t="str">
        <v>Kevin Scott</v>
      </c>
      <c r="AW5" s="15">
        <f t="shared" si="10"/>
        <v>3259.87</v>
      </c>
      <c r="AX5" s="40"/>
      <c r="AY5"/>
      <c r="AZ5"/>
      <c r="BA5"/>
      <c r="BB5"/>
    </row>
    <row r="6" spans="1:54" ht="14" customHeight="1" x14ac:dyDescent="0.35">
      <c r="A6" s="31" t="s">
        <v>41</v>
      </c>
      <c r="B6" s="22">
        <v>45400</v>
      </c>
      <c r="C6" s="22" t="s">
        <v>42</v>
      </c>
      <c r="D6" s="22" t="s">
        <v>43</v>
      </c>
      <c r="E6" s="22" t="s">
        <v>44</v>
      </c>
      <c r="F6" s="22" t="s">
        <v>45</v>
      </c>
      <c r="G6" s="22" t="s">
        <v>46</v>
      </c>
      <c r="H6" s="22">
        <v>5</v>
      </c>
      <c r="I6" s="22" t="s">
        <v>40</v>
      </c>
      <c r="J6" s="22">
        <v>149.99</v>
      </c>
      <c r="K6" s="22" t="s">
        <v>26</v>
      </c>
      <c r="L6" s="22" t="s">
        <v>27</v>
      </c>
      <c r="M6" s="22">
        <v>749.95</v>
      </c>
      <c r="N6" s="32">
        <v>45295</v>
      </c>
      <c r="O6" s="41"/>
      <c r="P6" s="22" t="s">
        <v>434</v>
      </c>
      <c r="Q6" s="22">
        <v>100</v>
      </c>
      <c r="S6" s="26">
        <f t="shared" ca="1" si="0"/>
        <v>45985</v>
      </c>
      <c r="T6" s="19">
        <f t="shared" ca="1" si="1"/>
        <v>45985.990154513885</v>
      </c>
      <c r="U6" s="15">
        <f t="shared" ca="1" si="7"/>
        <v>1</v>
      </c>
      <c r="V6" s="20">
        <f t="shared" ca="1" si="2"/>
        <v>45295</v>
      </c>
      <c r="W6" s="20">
        <f t="shared" si="3"/>
        <v>45412</v>
      </c>
      <c r="Y6" s="15" t="str">
        <f t="shared" si="4"/>
        <v>MB</v>
      </c>
      <c r="Z6" s="15" t="str">
        <f t="shared" si="5"/>
        <v>MICHAEL BROWN</v>
      </c>
      <c r="AA6" s="15" t="str">
        <f t="shared" si="6"/>
        <v>michael brown</v>
      </c>
      <c r="AB6" s="40"/>
      <c r="AC6" s="82">
        <v>4</v>
      </c>
      <c r="AD6" s="83">
        <v>230</v>
      </c>
      <c r="AE6" s="84">
        <f>$AH$11*AC6+$AH$12</f>
        <v>230</v>
      </c>
      <c r="AF6"/>
      <c r="AG6"/>
      <c r="AH6"/>
      <c r="AI6"/>
      <c r="AJ6"/>
      <c r="AK6"/>
      <c r="AL6"/>
      <c r="AM6"/>
      <c r="AN6"/>
      <c r="AP6" s="18" t="str">
        <v>Premium</v>
      </c>
      <c r="AQ6" s="17">
        <v>3599.96</v>
      </c>
      <c r="AR6" s="15" t="str">
        <v>South</v>
      </c>
      <c r="AS6" s="15">
        <v>59.99</v>
      </c>
      <c r="AU6" s="15" t="str">
        <v>Kathleen Bennett</v>
      </c>
      <c r="AW6" s="15">
        <f t="shared" si="10"/>
        <v>4309.8099999999995</v>
      </c>
      <c r="AX6" s="40"/>
    </row>
    <row r="7" spans="1:54" ht="14" customHeight="1" x14ac:dyDescent="0.35">
      <c r="A7" s="31" t="s">
        <v>47</v>
      </c>
      <c r="B7" s="22">
        <v>45403</v>
      </c>
      <c r="C7" s="22" t="s">
        <v>48</v>
      </c>
      <c r="D7" s="22" t="s">
        <v>49</v>
      </c>
      <c r="E7" s="22" t="s">
        <v>31</v>
      </c>
      <c r="F7" s="22" t="s">
        <v>32</v>
      </c>
      <c r="G7" s="22" t="s">
        <v>33</v>
      </c>
      <c r="H7" s="22">
        <v>2</v>
      </c>
      <c r="I7" s="22" t="s">
        <v>50</v>
      </c>
      <c r="J7" s="22">
        <v>59.99</v>
      </c>
      <c r="K7" s="22" t="s">
        <v>20</v>
      </c>
      <c r="L7" s="22" t="s">
        <v>36</v>
      </c>
      <c r="M7" s="22">
        <v>119.98</v>
      </c>
      <c r="N7" s="32">
        <v>44746</v>
      </c>
      <c r="O7" s="41"/>
      <c r="P7" s="22" t="s">
        <v>433</v>
      </c>
      <c r="Q7" s="22">
        <f>Q5-Q6</f>
        <v>1149.95</v>
      </c>
      <c r="S7" s="27">
        <f t="shared" ca="1" si="0"/>
        <v>45985</v>
      </c>
      <c r="T7" s="19">
        <f t="shared" ca="1" si="1"/>
        <v>45985.990154629631</v>
      </c>
      <c r="U7" s="15">
        <f t="shared" ca="1" si="7"/>
        <v>3</v>
      </c>
      <c r="V7" s="20">
        <f t="shared" ca="1" si="2"/>
        <v>44746</v>
      </c>
      <c r="W7" s="20">
        <f t="shared" si="3"/>
        <v>44865</v>
      </c>
      <c r="Y7" s="15" t="str">
        <f t="shared" si="4"/>
        <v>DN</v>
      </c>
      <c r="Z7" s="15" t="str">
        <f t="shared" si="5"/>
        <v>DOROTHY NELSON</v>
      </c>
      <c r="AA7" s="15" t="str">
        <f t="shared" si="6"/>
        <v>dorothy nelson</v>
      </c>
      <c r="AB7" s="40"/>
      <c r="AC7" s="82">
        <v>5</v>
      </c>
      <c r="AD7" s="83">
        <v>267.5</v>
      </c>
      <c r="AE7" s="84">
        <f>$AH$11*AC7+$AH$12</f>
        <v>267.5</v>
      </c>
      <c r="AF7"/>
      <c r="AG7" s="49"/>
      <c r="AH7"/>
      <c r="AI7"/>
      <c r="AJ7"/>
      <c r="AK7"/>
      <c r="AL7"/>
      <c r="AM7"/>
      <c r="AN7"/>
      <c r="AP7" s="18" t="str">
        <v>Premium</v>
      </c>
      <c r="AQ7" s="17">
        <v>1399.98</v>
      </c>
      <c r="AR7" s="15" t="str">
        <v>North</v>
      </c>
      <c r="AS7" s="15">
        <v>149.99</v>
      </c>
      <c r="AU7" s="15" t="str">
        <v>Michael Brown</v>
      </c>
      <c r="AW7" s="15">
        <f t="shared" si="10"/>
        <v>6169.7400000000007</v>
      </c>
      <c r="AX7" s="40"/>
    </row>
    <row r="8" spans="1:54" ht="14" customHeight="1" x14ac:dyDescent="0.35">
      <c r="A8" s="31" t="s">
        <v>51</v>
      </c>
      <c r="B8" s="22">
        <v>45403</v>
      </c>
      <c r="C8" s="22" t="s">
        <v>48</v>
      </c>
      <c r="D8" s="22" t="s">
        <v>49</v>
      </c>
      <c r="E8" s="22" t="s">
        <v>52</v>
      </c>
      <c r="F8" s="22" t="s">
        <v>53</v>
      </c>
      <c r="G8" s="22" t="s">
        <v>19</v>
      </c>
      <c r="H8" s="22">
        <v>5</v>
      </c>
      <c r="I8" s="22" t="s">
        <v>21</v>
      </c>
      <c r="J8" s="22">
        <v>149.99</v>
      </c>
      <c r="K8" s="22" t="s">
        <v>26</v>
      </c>
      <c r="L8" s="22" t="s">
        <v>36</v>
      </c>
      <c r="M8" s="22">
        <v>749.95</v>
      </c>
      <c r="N8" s="32">
        <v>44418</v>
      </c>
      <c r="O8" s="41"/>
      <c r="S8" s="26">
        <f t="shared" ca="1" si="0"/>
        <v>45985</v>
      </c>
      <c r="T8" s="19">
        <f t="shared" ca="1" si="1"/>
        <v>45985.990154513885</v>
      </c>
      <c r="U8" s="15">
        <f t="shared" ca="1" si="7"/>
        <v>4</v>
      </c>
      <c r="V8" s="20">
        <f t="shared" ca="1" si="2"/>
        <v>44418</v>
      </c>
      <c r="W8" s="20">
        <f t="shared" si="3"/>
        <v>44530</v>
      </c>
      <c r="Y8" s="15" t="str">
        <f t="shared" si="4"/>
        <v>DN</v>
      </c>
      <c r="Z8" s="15" t="str">
        <f t="shared" si="5"/>
        <v>DOROTHY NELSON</v>
      </c>
      <c r="AA8" s="15" t="str">
        <f t="shared" si="6"/>
        <v>dorothy nelson</v>
      </c>
      <c r="AB8" s="40"/>
      <c r="AC8"/>
      <c r="AD8"/>
      <c r="AE8"/>
      <c r="AF8"/>
      <c r="AG8" s="77" t="s">
        <v>460</v>
      </c>
      <c r="AH8" s="77"/>
      <c r="AI8" s="77"/>
      <c r="AJ8" s="77"/>
      <c r="AK8" s="77"/>
      <c r="AL8" s="77"/>
      <c r="AM8"/>
      <c r="AN8"/>
      <c r="AP8" s="18" t="str">
        <v>Premium</v>
      </c>
      <c r="AQ8" s="17">
        <v>1399.98</v>
      </c>
      <c r="AR8" s="15" t="str">
        <v>North</v>
      </c>
      <c r="AS8" s="15">
        <v>149.99</v>
      </c>
      <c r="AU8" s="15" t="str">
        <v>Dorothy Nelson</v>
      </c>
      <c r="AW8" s="15">
        <f t="shared" si="10"/>
        <v>8269.7900000000009</v>
      </c>
      <c r="AX8" s="40"/>
    </row>
    <row r="9" spans="1:54" ht="14" customHeight="1" x14ac:dyDescent="0.35">
      <c r="A9" s="31" t="s">
        <v>54</v>
      </c>
      <c r="B9" s="22">
        <v>45403</v>
      </c>
      <c r="C9" s="22" t="s">
        <v>55</v>
      </c>
      <c r="D9" s="22" t="s">
        <v>56</v>
      </c>
      <c r="E9" s="22" t="s">
        <v>31</v>
      </c>
      <c r="F9" s="22" t="s">
        <v>32</v>
      </c>
      <c r="G9" s="22" t="s">
        <v>33</v>
      </c>
      <c r="H9" s="22">
        <v>3</v>
      </c>
      <c r="I9" s="22" t="s">
        <v>35</v>
      </c>
      <c r="J9" s="22">
        <v>59.99</v>
      </c>
      <c r="K9" s="22" t="s">
        <v>57</v>
      </c>
      <c r="L9" s="22" t="s">
        <v>22</v>
      </c>
      <c r="M9" s="22">
        <v>179.97</v>
      </c>
      <c r="N9" s="32">
        <v>45007</v>
      </c>
      <c r="O9" s="41"/>
      <c r="P9" s="54" t="s">
        <v>440</v>
      </c>
      <c r="Q9" s="54"/>
      <c r="S9" s="27">
        <f t="shared" ca="1" si="0"/>
        <v>45985</v>
      </c>
      <c r="T9" s="19">
        <f t="shared" ca="1" si="1"/>
        <v>45985.990154629631</v>
      </c>
      <c r="U9" s="15">
        <f t="shared" ca="1" si="7"/>
        <v>2</v>
      </c>
      <c r="V9" s="20">
        <f t="shared" ca="1" si="2"/>
        <v>45007</v>
      </c>
      <c r="W9" s="20">
        <f t="shared" si="3"/>
        <v>45107</v>
      </c>
      <c r="Y9" s="15" t="str">
        <f t="shared" si="4"/>
        <v>CA</v>
      </c>
      <c r="Z9" s="15" t="str">
        <f t="shared" si="5"/>
        <v>CHARLES ALLEN</v>
      </c>
      <c r="AA9" s="15" t="str">
        <f t="shared" si="6"/>
        <v>charles allen</v>
      </c>
      <c r="AB9" s="40"/>
      <c r="AC9"/>
      <c r="AD9"/>
      <c r="AE9"/>
      <c r="AF9"/>
      <c r="AG9" s="77" t="s">
        <v>461</v>
      </c>
      <c r="AH9" s="77"/>
      <c r="AI9" s="77"/>
      <c r="AJ9" s="77"/>
      <c r="AK9" s="77"/>
      <c r="AL9" s="77"/>
      <c r="AM9"/>
      <c r="AN9"/>
      <c r="AP9" s="18" t="str">
        <v>Premium</v>
      </c>
      <c r="AQ9" s="17">
        <v>1249.95</v>
      </c>
      <c r="AR9" s="15" t="str">
        <v>North</v>
      </c>
      <c r="AS9" s="15">
        <v>59.99</v>
      </c>
      <c r="AU9" s="15" t="str">
        <v>Charles Allen</v>
      </c>
      <c r="AW9" s="15">
        <f t="shared" si="10"/>
        <v>5089.7300000000005</v>
      </c>
      <c r="AX9" s="40"/>
    </row>
    <row r="10" spans="1:54" ht="14" customHeight="1" x14ac:dyDescent="0.35">
      <c r="A10" s="31" t="s">
        <v>58</v>
      </c>
      <c r="B10" s="22">
        <v>45405</v>
      </c>
      <c r="C10" s="22" t="s">
        <v>59</v>
      </c>
      <c r="D10" s="22" t="s">
        <v>60</v>
      </c>
      <c r="E10" s="22" t="s">
        <v>61</v>
      </c>
      <c r="F10" s="22" t="s">
        <v>62</v>
      </c>
      <c r="G10" s="22" t="s">
        <v>19</v>
      </c>
      <c r="H10" s="22">
        <v>3</v>
      </c>
      <c r="I10" s="22" t="s">
        <v>63</v>
      </c>
      <c r="J10" s="22">
        <v>899.99</v>
      </c>
      <c r="K10" s="22" t="s">
        <v>34</v>
      </c>
      <c r="L10" s="22" t="s">
        <v>36</v>
      </c>
      <c r="M10" s="22">
        <v>2699.97</v>
      </c>
      <c r="N10" s="32">
        <v>45299</v>
      </c>
      <c r="O10" s="41"/>
      <c r="P10" s="22" t="s">
        <v>430</v>
      </c>
      <c r="Q10" s="55">
        <f>J9</f>
        <v>59.99</v>
      </c>
      <c r="S10" s="26">
        <f t="shared" ca="1" si="0"/>
        <v>45985</v>
      </c>
      <c r="T10" s="19">
        <f t="shared" ca="1" si="1"/>
        <v>45985.990154513885</v>
      </c>
      <c r="U10" s="15">
        <f t="shared" ca="1" si="7"/>
        <v>1</v>
      </c>
      <c r="V10" s="20">
        <f t="shared" ca="1" si="2"/>
        <v>45299</v>
      </c>
      <c r="W10" s="20">
        <f t="shared" si="3"/>
        <v>45412</v>
      </c>
      <c r="Y10" s="15" t="str">
        <f t="shared" si="4"/>
        <v>RT</v>
      </c>
      <c r="Z10" s="15" t="str">
        <f t="shared" si="5"/>
        <v>ROBERT THOMAS</v>
      </c>
      <c r="AA10" s="15" t="str">
        <f t="shared" si="6"/>
        <v>robert thomas</v>
      </c>
      <c r="AB10" s="40"/>
      <c r="AC10"/>
      <c r="AD10"/>
      <c r="AE10"/>
      <c r="AF10"/>
      <c r="AG10"/>
      <c r="AH10"/>
      <c r="AI10"/>
      <c r="AJ10"/>
      <c r="AK10"/>
      <c r="AL10"/>
      <c r="AM10"/>
      <c r="AN10"/>
      <c r="AP10" s="18" t="str">
        <v>Premium</v>
      </c>
      <c r="AQ10" s="17">
        <v>1399.98</v>
      </c>
      <c r="AR10" s="15" t="str">
        <v>North</v>
      </c>
      <c r="AS10" s="15">
        <v>899.99</v>
      </c>
      <c r="AU10" s="15" t="str">
        <v>Robert Thomas</v>
      </c>
      <c r="AW10" s="15">
        <f t="shared" si="10"/>
        <v>3509.8999999999996</v>
      </c>
      <c r="AX10" s="40"/>
    </row>
    <row r="11" spans="1:54" ht="14" customHeight="1" x14ac:dyDescent="0.35">
      <c r="A11" s="31" t="s">
        <v>64</v>
      </c>
      <c r="B11" s="22">
        <v>45408</v>
      </c>
      <c r="C11" s="22" t="s">
        <v>65</v>
      </c>
      <c r="D11" s="22" t="s">
        <v>66</v>
      </c>
      <c r="E11" s="22" t="s">
        <v>31</v>
      </c>
      <c r="F11" s="22" t="s">
        <v>32</v>
      </c>
      <c r="G11" s="22" t="s">
        <v>33</v>
      </c>
      <c r="H11" s="22">
        <v>3</v>
      </c>
      <c r="I11" s="22" t="s">
        <v>50</v>
      </c>
      <c r="J11" s="22">
        <v>59.99</v>
      </c>
      <c r="K11" s="22" t="s">
        <v>20</v>
      </c>
      <c r="L11" s="22" t="s">
        <v>27</v>
      </c>
      <c r="M11" s="22">
        <v>179.97</v>
      </c>
      <c r="N11" s="32">
        <v>45207</v>
      </c>
      <c r="O11" s="41"/>
      <c r="P11" s="22" t="s">
        <v>431</v>
      </c>
      <c r="Q11" s="51">
        <v>5.0008334722453744</v>
      </c>
      <c r="S11" s="27">
        <f t="shared" ca="1" si="0"/>
        <v>45985</v>
      </c>
      <c r="T11" s="19">
        <f t="shared" ca="1" si="1"/>
        <v>45985.990154629631</v>
      </c>
      <c r="U11" s="15">
        <f t="shared" ca="1" si="7"/>
        <v>2</v>
      </c>
      <c r="V11" s="20">
        <f t="shared" ca="1" si="2"/>
        <v>45207</v>
      </c>
      <c r="W11" s="20">
        <f t="shared" si="3"/>
        <v>45322</v>
      </c>
      <c r="Y11" s="15" t="str">
        <f t="shared" si="4"/>
        <v>KH</v>
      </c>
      <c r="Z11" s="15" t="str">
        <f t="shared" si="5"/>
        <v>KAREN HILL</v>
      </c>
      <c r="AA11" s="15" t="str">
        <f t="shared" si="6"/>
        <v>karen hill</v>
      </c>
      <c r="AB11" s="40"/>
      <c r="AC11"/>
      <c r="AD11"/>
      <c r="AE11"/>
      <c r="AF11"/>
      <c r="AG11" s="76" t="s">
        <v>462</v>
      </c>
      <c r="AH11" s="73">
        <f>AL3/AN3</f>
        <v>37.5</v>
      </c>
      <c r="AI11"/>
      <c r="AJ11" s="76" t="s">
        <v>462</v>
      </c>
      <c r="AK11" s="73">
        <f>SLOPE(AD3:AD5,AC3:AC5)</f>
        <v>37.5</v>
      </c>
      <c r="AL11"/>
      <c r="AM11"/>
      <c r="AN11"/>
      <c r="AP11" s="18" t="str">
        <v>Premium</v>
      </c>
      <c r="AQ11" s="17">
        <v>1399.98</v>
      </c>
      <c r="AR11" s="15" t="str">
        <v>North</v>
      </c>
      <c r="AS11" s="15">
        <v>149.99</v>
      </c>
      <c r="AU11" s="15" t="str">
        <v>Karen Hill</v>
      </c>
      <c r="AW11" s="15">
        <f t="shared" si="10"/>
        <v>8009.7699999999995</v>
      </c>
      <c r="AX11" s="40"/>
    </row>
    <row r="12" spans="1:54" ht="14" customHeight="1" x14ac:dyDescent="0.35">
      <c r="A12" s="31" t="s">
        <v>67</v>
      </c>
      <c r="B12" s="22">
        <v>45408</v>
      </c>
      <c r="C12" s="22" t="s">
        <v>68</v>
      </c>
      <c r="D12" s="22" t="s">
        <v>69</v>
      </c>
      <c r="E12" s="22" t="s">
        <v>44</v>
      </c>
      <c r="F12" s="22" t="s">
        <v>45</v>
      </c>
      <c r="G12" s="22" t="s">
        <v>46</v>
      </c>
      <c r="H12" s="22">
        <v>1</v>
      </c>
      <c r="I12" s="22" t="s">
        <v>50</v>
      </c>
      <c r="J12" s="22">
        <v>149.99</v>
      </c>
      <c r="K12" s="22" t="s">
        <v>26</v>
      </c>
      <c r="L12" s="22" t="s">
        <v>36</v>
      </c>
      <c r="M12" s="22">
        <v>149.99</v>
      </c>
      <c r="N12" s="32">
        <v>45103</v>
      </c>
      <c r="O12" s="41"/>
      <c r="P12" s="22" t="s">
        <v>432</v>
      </c>
      <c r="Q12" s="22">
        <f>Q10*Q11</f>
        <v>300</v>
      </c>
      <c r="S12" s="26">
        <f t="shared" ca="1" si="0"/>
        <v>45985</v>
      </c>
      <c r="T12" s="19">
        <f t="shared" ca="1" si="1"/>
        <v>45985.990154513885</v>
      </c>
      <c r="U12" s="15">
        <f t="shared" ca="1" si="7"/>
        <v>2</v>
      </c>
      <c r="V12" s="20">
        <f t="shared" ca="1" si="2"/>
        <v>45103</v>
      </c>
      <c r="W12" s="20">
        <f t="shared" si="3"/>
        <v>45199</v>
      </c>
      <c r="Y12" s="15" t="str">
        <f t="shared" si="4"/>
        <v>SG</v>
      </c>
      <c r="Z12" s="15" t="str">
        <f t="shared" si="5"/>
        <v>SUSAN GREEN</v>
      </c>
      <c r="AA12" s="15" t="str">
        <f t="shared" si="6"/>
        <v>susan green</v>
      </c>
      <c r="AB12" s="40"/>
      <c r="AC12"/>
      <c r="AD12"/>
      <c r="AE12"/>
      <c r="AF12"/>
      <c r="AG12" s="76" t="s">
        <v>463</v>
      </c>
      <c r="AH12" s="74">
        <f>AH3-(AH11*AG3)</f>
        <v>80</v>
      </c>
      <c r="AI12"/>
      <c r="AJ12" s="76" t="s">
        <v>463</v>
      </c>
      <c r="AK12" s="74">
        <f>INTERCEPT(AD3:AD6,AC3:AC6)</f>
        <v>80</v>
      </c>
      <c r="AL12"/>
      <c r="AM12"/>
      <c r="AN12"/>
      <c r="AP12" s="18" t="str">
        <v>Premium</v>
      </c>
      <c r="AQ12" s="17">
        <v>1199.96</v>
      </c>
      <c r="AR12" s="15" t="str">
        <v>North</v>
      </c>
      <c r="AS12" s="15">
        <v>699.99</v>
      </c>
      <c r="AU12" s="15" t="str">
        <v>Susan Green</v>
      </c>
      <c r="AW12" s="15">
        <f t="shared" si="10"/>
        <v>1979.89</v>
      </c>
      <c r="AX12" s="40"/>
    </row>
    <row r="13" spans="1:54" ht="14" customHeight="1" x14ac:dyDescent="0.35">
      <c r="A13" s="31" t="s">
        <v>70</v>
      </c>
      <c r="B13" s="22">
        <v>45408</v>
      </c>
      <c r="C13" s="22" t="s">
        <v>38</v>
      </c>
      <c r="D13" s="22" t="s">
        <v>39</v>
      </c>
      <c r="E13" s="22" t="s">
        <v>44</v>
      </c>
      <c r="F13" s="22" t="s">
        <v>45</v>
      </c>
      <c r="G13" s="22" t="s">
        <v>46</v>
      </c>
      <c r="H13" s="22">
        <v>5</v>
      </c>
      <c r="I13" s="22" t="s">
        <v>40</v>
      </c>
      <c r="J13" s="22">
        <v>149.99</v>
      </c>
      <c r="K13" s="22" t="s">
        <v>57</v>
      </c>
      <c r="L13" s="22" t="s">
        <v>22</v>
      </c>
      <c r="M13" s="22">
        <v>749.95</v>
      </c>
      <c r="N13" s="32">
        <v>44830</v>
      </c>
      <c r="O13" s="41"/>
      <c r="P13" s="22" t="s">
        <v>434</v>
      </c>
      <c r="Q13" s="22">
        <v>100</v>
      </c>
      <c r="S13" s="27">
        <f t="shared" ca="1" si="0"/>
        <v>45985</v>
      </c>
      <c r="T13" s="19">
        <f t="shared" ca="1" si="1"/>
        <v>45985.990154629631</v>
      </c>
      <c r="U13" s="15">
        <f t="shared" ca="1" si="7"/>
        <v>3</v>
      </c>
      <c r="V13" s="20">
        <f t="shared" ca="1" si="2"/>
        <v>44830</v>
      </c>
      <c r="W13" s="20">
        <f t="shared" si="3"/>
        <v>44926</v>
      </c>
      <c r="Y13" s="15" t="str">
        <f t="shared" si="4"/>
        <v>KB</v>
      </c>
      <c r="Z13" s="15" t="str">
        <f t="shared" si="5"/>
        <v>KATHLEEN BENNETT</v>
      </c>
      <c r="AA13" s="15" t="str">
        <f t="shared" si="6"/>
        <v>kathleen bennett</v>
      </c>
      <c r="AB13" s="40"/>
      <c r="AP13" s="18" t="str">
        <v>Premium</v>
      </c>
      <c r="AQ13" s="17">
        <v>1399.98</v>
      </c>
      <c r="AR13" s="15" t="str">
        <v>North</v>
      </c>
      <c r="AS13" s="15">
        <v>249.99</v>
      </c>
      <c r="AU13" s="15" t="str">
        <v>Peter Richardson</v>
      </c>
      <c r="AW13" s="15">
        <f t="shared" si="10"/>
        <v>5949.85</v>
      </c>
      <c r="AX13" s="40"/>
    </row>
    <row r="14" spans="1:54" ht="14" customHeight="1" x14ac:dyDescent="0.35">
      <c r="A14" s="31" t="s">
        <v>71</v>
      </c>
      <c r="B14" s="22">
        <v>45408</v>
      </c>
      <c r="C14" s="22" t="s">
        <v>72</v>
      </c>
      <c r="D14" s="22" t="s">
        <v>73</v>
      </c>
      <c r="E14" s="22" t="s">
        <v>44</v>
      </c>
      <c r="F14" s="22" t="s">
        <v>45</v>
      </c>
      <c r="G14" s="22" t="s">
        <v>46</v>
      </c>
      <c r="H14" s="22">
        <v>3</v>
      </c>
      <c r="I14" s="22" t="s">
        <v>40</v>
      </c>
      <c r="J14" s="22">
        <v>149.99</v>
      </c>
      <c r="K14" s="22" t="s">
        <v>20</v>
      </c>
      <c r="L14" s="22" t="s">
        <v>27</v>
      </c>
      <c r="M14" s="22">
        <v>449.97</v>
      </c>
      <c r="N14" s="32">
        <v>44806</v>
      </c>
      <c r="O14" s="41"/>
      <c r="P14" s="22" t="s">
        <v>433</v>
      </c>
      <c r="Q14" s="22">
        <f>Q12-Q13</f>
        <v>200</v>
      </c>
      <c r="S14" s="26">
        <f t="shared" ca="1" si="0"/>
        <v>45985</v>
      </c>
      <c r="T14" s="19">
        <f t="shared" ca="1" si="1"/>
        <v>45985.990154513885</v>
      </c>
      <c r="U14" s="15">
        <f t="shared" ca="1" si="7"/>
        <v>3</v>
      </c>
      <c r="V14" s="20">
        <f t="shared" ca="1" si="2"/>
        <v>44806</v>
      </c>
      <c r="W14" s="20">
        <f t="shared" si="3"/>
        <v>44926</v>
      </c>
      <c r="Y14" s="15" t="str">
        <f t="shared" si="4"/>
        <v>PR</v>
      </c>
      <c r="Z14" s="15" t="str">
        <f t="shared" si="5"/>
        <v>PETER RICHARDSON</v>
      </c>
      <c r="AA14" s="15" t="str">
        <f t="shared" si="6"/>
        <v>peter richardson</v>
      </c>
      <c r="AB14" s="40"/>
      <c r="AP14" s="18" t="str">
        <v>Premium</v>
      </c>
      <c r="AQ14" s="17">
        <v>3499.95</v>
      </c>
      <c r="AR14" s="15" t="str">
        <v>North</v>
      </c>
      <c r="AS14" s="15">
        <v>249.99</v>
      </c>
      <c r="AU14" s="15" t="str">
        <v>Dennis Gray</v>
      </c>
      <c r="AW14" s="15">
        <f t="shared" si="10"/>
        <v>479.91999999999996</v>
      </c>
      <c r="AX14" s="40"/>
    </row>
    <row r="15" spans="1:54" ht="14" customHeight="1" x14ac:dyDescent="0.35">
      <c r="A15" s="31" t="s">
        <v>74</v>
      </c>
      <c r="B15" s="22">
        <v>45409</v>
      </c>
      <c r="C15" s="22" t="s">
        <v>75</v>
      </c>
      <c r="D15" s="22" t="s">
        <v>76</v>
      </c>
      <c r="E15" s="22" t="s">
        <v>31</v>
      </c>
      <c r="F15" s="22" t="s">
        <v>32</v>
      </c>
      <c r="G15" s="22" t="s">
        <v>33</v>
      </c>
      <c r="H15" s="22">
        <v>3</v>
      </c>
      <c r="I15" s="22" t="s">
        <v>40</v>
      </c>
      <c r="J15" s="22">
        <v>59.99</v>
      </c>
      <c r="K15" s="22" t="s">
        <v>26</v>
      </c>
      <c r="L15" s="22" t="s">
        <v>36</v>
      </c>
      <c r="M15" s="22">
        <v>179.97</v>
      </c>
      <c r="N15" s="32">
        <v>45351</v>
      </c>
      <c r="O15" s="41"/>
      <c r="P15" s="41"/>
      <c r="Q15" s="41"/>
      <c r="S15" s="27">
        <f t="shared" ca="1" si="0"/>
        <v>45985</v>
      </c>
      <c r="T15" s="19">
        <f t="shared" ca="1" si="1"/>
        <v>45985.990154629631</v>
      </c>
      <c r="U15" s="15">
        <f t="shared" ca="1" si="7"/>
        <v>1</v>
      </c>
      <c r="V15" s="20">
        <f t="shared" ca="1" si="2"/>
        <v>45351</v>
      </c>
      <c r="W15" s="20">
        <f t="shared" si="3"/>
        <v>45443</v>
      </c>
      <c r="Y15" s="15" t="str">
        <f t="shared" si="4"/>
        <v>DG</v>
      </c>
      <c r="Z15" s="15" t="str">
        <f t="shared" si="5"/>
        <v>DENNIS GRAY</v>
      </c>
      <c r="AA15" s="15" t="str">
        <f t="shared" si="6"/>
        <v>dennis gray</v>
      </c>
      <c r="AB15" s="40"/>
      <c r="AP15" s="18" t="str">
        <v>Premium</v>
      </c>
      <c r="AQ15" s="17">
        <v>1249.95</v>
      </c>
      <c r="AR15" s="15" t="str">
        <v>North</v>
      </c>
      <c r="AS15" s="15">
        <v>89.99</v>
      </c>
      <c r="AU15" s="15" t="str">
        <v>Michelle Rogers</v>
      </c>
      <c r="AW15" s="15">
        <f t="shared" si="10"/>
        <v>4199.9399999999996</v>
      </c>
      <c r="AX15" s="40"/>
    </row>
    <row r="16" spans="1:54" ht="14" customHeight="1" x14ac:dyDescent="0.35">
      <c r="A16" s="31" t="s">
        <v>77</v>
      </c>
      <c r="B16" s="22">
        <v>45409</v>
      </c>
      <c r="C16" s="22" t="s">
        <v>78</v>
      </c>
      <c r="D16" s="22" t="s">
        <v>79</v>
      </c>
      <c r="E16" s="22" t="s">
        <v>80</v>
      </c>
      <c r="F16" s="22" t="s">
        <v>81</v>
      </c>
      <c r="G16" s="22" t="s">
        <v>19</v>
      </c>
      <c r="H16" s="22">
        <v>3</v>
      </c>
      <c r="I16" s="22" t="s">
        <v>50</v>
      </c>
      <c r="J16" s="22">
        <v>699.99</v>
      </c>
      <c r="K16" s="22" t="s">
        <v>26</v>
      </c>
      <c r="L16" s="22" t="s">
        <v>22</v>
      </c>
      <c r="M16" s="22">
        <v>2099.9699999999998</v>
      </c>
      <c r="N16" s="32">
        <v>44577</v>
      </c>
      <c r="O16" s="41"/>
      <c r="S16" s="26">
        <f t="shared" ca="1" si="0"/>
        <v>45985</v>
      </c>
      <c r="T16" s="19">
        <f t="shared" ca="1" si="1"/>
        <v>45985.990154513885</v>
      </c>
      <c r="U16" s="15">
        <f t="shared" ca="1" si="7"/>
        <v>3</v>
      </c>
      <c r="V16" s="20">
        <f t="shared" ca="1" si="2"/>
        <v>44577</v>
      </c>
      <c r="W16" s="20">
        <f t="shared" si="3"/>
        <v>44681</v>
      </c>
      <c r="Y16" s="15" t="str">
        <f t="shared" si="4"/>
        <v>MR</v>
      </c>
      <c r="Z16" s="15" t="str">
        <f t="shared" si="5"/>
        <v>MICHELLE ROGERS</v>
      </c>
      <c r="AA16" s="15" t="str">
        <f t="shared" si="6"/>
        <v>michelle rogers</v>
      </c>
      <c r="AB16" s="40"/>
      <c r="AP16" s="18" t="str">
        <v>Premium</v>
      </c>
      <c r="AQ16" s="17">
        <v>2799.96</v>
      </c>
      <c r="AR16" s="15" t="str">
        <v>South</v>
      </c>
      <c r="AS16" s="15">
        <v>199.99</v>
      </c>
      <c r="AU16" s="15" t="str">
        <v>George Adams</v>
      </c>
      <c r="AW16" s="15">
        <f t="shared" si="10"/>
        <v>3779.93</v>
      </c>
      <c r="AX16" s="40"/>
    </row>
    <row r="17" spans="1:50" ht="14" customHeight="1" x14ac:dyDescent="0.35">
      <c r="A17" s="31" t="s">
        <v>82</v>
      </c>
      <c r="B17" s="22">
        <v>45409</v>
      </c>
      <c r="C17" s="22" t="s">
        <v>83</v>
      </c>
      <c r="D17" s="22" t="s">
        <v>84</v>
      </c>
      <c r="E17" s="22" t="s">
        <v>61</v>
      </c>
      <c r="F17" s="22" t="s">
        <v>62</v>
      </c>
      <c r="G17" s="22" t="s">
        <v>19</v>
      </c>
      <c r="H17" s="22">
        <v>1</v>
      </c>
      <c r="I17" s="22" t="s">
        <v>40</v>
      </c>
      <c r="J17" s="22">
        <v>899.99</v>
      </c>
      <c r="K17" s="22" t="s">
        <v>57</v>
      </c>
      <c r="L17" s="22" t="s">
        <v>36</v>
      </c>
      <c r="M17" s="22">
        <v>899.99</v>
      </c>
      <c r="N17" s="32">
        <v>44920</v>
      </c>
      <c r="O17" s="41"/>
      <c r="S17" s="27">
        <f t="shared" ca="1" si="0"/>
        <v>45985</v>
      </c>
      <c r="T17" s="19">
        <f t="shared" ca="1" si="1"/>
        <v>45985.990154629631</v>
      </c>
      <c r="U17" s="15">
        <f t="shared" ca="1" si="7"/>
        <v>2</v>
      </c>
      <c r="V17" s="20">
        <f t="shared" ca="1" si="2"/>
        <v>44920</v>
      </c>
      <c r="W17" s="20">
        <f t="shared" si="3"/>
        <v>45016</v>
      </c>
      <c r="Y17" s="15" t="str">
        <f t="shared" si="4"/>
        <v>GA</v>
      </c>
      <c r="Z17" s="15" t="str">
        <f t="shared" si="5"/>
        <v>GEORGE ADAMS</v>
      </c>
      <c r="AA17" s="15" t="str">
        <f t="shared" si="6"/>
        <v>george adams</v>
      </c>
      <c r="AB17" s="40"/>
      <c r="AP17" s="18" t="str">
        <v>Premium</v>
      </c>
      <c r="AQ17" s="17">
        <v>2099.9699999999998</v>
      </c>
      <c r="AR17" s="15" t="str">
        <v>South</v>
      </c>
      <c r="AS17" s="15">
        <v>79.989999999999995</v>
      </c>
      <c r="AU17" s="15" t="str">
        <v>Mark Carter</v>
      </c>
      <c r="AW17" s="15">
        <f t="shared" si="10"/>
        <v>15659.65</v>
      </c>
      <c r="AX17" s="40"/>
    </row>
    <row r="18" spans="1:50" x14ac:dyDescent="0.35">
      <c r="A18" s="31" t="s">
        <v>85</v>
      </c>
      <c r="B18" s="22">
        <v>45410</v>
      </c>
      <c r="C18" s="22" t="s">
        <v>86</v>
      </c>
      <c r="D18" s="22" t="s">
        <v>87</v>
      </c>
      <c r="E18" s="22" t="s">
        <v>44</v>
      </c>
      <c r="F18" s="22" t="s">
        <v>45</v>
      </c>
      <c r="G18" s="22" t="s">
        <v>46</v>
      </c>
      <c r="H18" s="22">
        <v>4</v>
      </c>
      <c r="I18" s="22" t="s">
        <v>40</v>
      </c>
      <c r="J18" s="22">
        <v>149.99</v>
      </c>
      <c r="K18" s="22" t="s">
        <v>57</v>
      </c>
      <c r="L18" s="22" t="s">
        <v>27</v>
      </c>
      <c r="M18" s="22">
        <v>599.96</v>
      </c>
      <c r="N18" s="32">
        <v>45374</v>
      </c>
      <c r="O18" s="41"/>
      <c r="S18" s="26">
        <f t="shared" ca="1" si="0"/>
        <v>45985</v>
      </c>
      <c r="T18" s="19">
        <f t="shared" ca="1" si="1"/>
        <v>45985.990154513885</v>
      </c>
      <c r="U18" s="15">
        <f t="shared" ca="1" si="7"/>
        <v>1</v>
      </c>
      <c r="V18" s="20">
        <f t="shared" ca="1" si="2"/>
        <v>45374</v>
      </c>
      <c r="W18" s="20">
        <f t="shared" si="3"/>
        <v>45473</v>
      </c>
      <c r="Y18" s="15" t="str">
        <f t="shared" si="4"/>
        <v>MC</v>
      </c>
      <c r="Z18" s="15" t="str">
        <f t="shared" si="5"/>
        <v>MARK CARTER</v>
      </c>
      <c r="AA18" s="15" t="str">
        <f t="shared" si="6"/>
        <v>mark carter</v>
      </c>
      <c r="AB18" s="40"/>
      <c r="AP18" s="18" t="str">
        <v>Premium</v>
      </c>
      <c r="AQ18" s="17">
        <v>2099.9699999999998</v>
      </c>
      <c r="AR18" s="15" t="str">
        <v>North</v>
      </c>
      <c r="AS18" s="15">
        <v>199.99</v>
      </c>
      <c r="AU18" s="15" t="str">
        <v>Maria Garcia</v>
      </c>
      <c r="AW18" s="15">
        <f t="shared" si="10"/>
        <v>1909.93</v>
      </c>
      <c r="AX18" s="40"/>
    </row>
    <row r="19" spans="1:50" x14ac:dyDescent="0.35">
      <c r="A19" s="31" t="s">
        <v>88</v>
      </c>
      <c r="B19" s="22">
        <v>45410</v>
      </c>
      <c r="C19" s="22" t="s">
        <v>89</v>
      </c>
      <c r="D19" s="22" t="s">
        <v>90</v>
      </c>
      <c r="E19" s="22" t="s">
        <v>80</v>
      </c>
      <c r="F19" s="22" t="s">
        <v>81</v>
      </c>
      <c r="G19" s="22" t="s">
        <v>19</v>
      </c>
      <c r="H19" s="22">
        <v>2</v>
      </c>
      <c r="I19" s="22" t="s">
        <v>40</v>
      </c>
      <c r="J19" s="22">
        <v>699.99</v>
      </c>
      <c r="K19" s="22" t="s">
        <v>20</v>
      </c>
      <c r="L19" s="22" t="s">
        <v>22</v>
      </c>
      <c r="M19" s="22">
        <v>1399.98</v>
      </c>
      <c r="N19" s="32">
        <v>44781</v>
      </c>
      <c r="O19" s="41"/>
      <c r="S19" s="27">
        <f t="shared" ca="1" si="0"/>
        <v>45985</v>
      </c>
      <c r="T19" s="19">
        <f t="shared" ca="1" si="1"/>
        <v>45985.990154629631</v>
      </c>
      <c r="U19" s="15">
        <f t="shared" ca="1" si="7"/>
        <v>3</v>
      </c>
      <c r="V19" s="20">
        <f t="shared" ca="1" si="2"/>
        <v>44781</v>
      </c>
      <c r="W19" s="20">
        <f t="shared" si="3"/>
        <v>44895</v>
      </c>
      <c r="Y19" s="15" t="str">
        <f t="shared" si="4"/>
        <v>MG</v>
      </c>
      <c r="Z19" s="15" t="str">
        <f t="shared" si="5"/>
        <v>MARIA GARCIA</v>
      </c>
      <c r="AA19" s="15" t="str">
        <f t="shared" si="6"/>
        <v>maria garcia</v>
      </c>
      <c r="AB19" s="40"/>
      <c r="AP19" s="18" t="str">
        <v>Premium</v>
      </c>
      <c r="AQ19" s="17">
        <v>1399.98</v>
      </c>
      <c r="AR19" s="15" t="str">
        <v>North</v>
      </c>
      <c r="AS19" s="15">
        <v>79.989999999999995</v>
      </c>
      <c r="AU19" s="15" t="str">
        <v>Virginia Sanders</v>
      </c>
      <c r="AW19" s="15">
        <f t="shared" si="10"/>
        <v>4789.7900000000009</v>
      </c>
      <c r="AX19" s="40"/>
    </row>
    <row r="20" spans="1:50" x14ac:dyDescent="0.35">
      <c r="A20" s="31" t="s">
        <v>91</v>
      </c>
      <c r="B20" s="22">
        <v>45410</v>
      </c>
      <c r="C20" s="22" t="s">
        <v>86</v>
      </c>
      <c r="D20" s="22" t="s">
        <v>87</v>
      </c>
      <c r="E20" s="22" t="s">
        <v>61</v>
      </c>
      <c r="F20" s="22" t="s">
        <v>62</v>
      </c>
      <c r="G20" s="22" t="s">
        <v>19</v>
      </c>
      <c r="H20" s="22">
        <v>4</v>
      </c>
      <c r="I20" s="22" t="s">
        <v>50</v>
      </c>
      <c r="J20" s="22">
        <v>899.99</v>
      </c>
      <c r="K20" s="22" t="s">
        <v>26</v>
      </c>
      <c r="L20" s="22" t="s">
        <v>36</v>
      </c>
      <c r="M20" s="22">
        <v>3599.96</v>
      </c>
      <c r="N20" s="32">
        <v>45327</v>
      </c>
      <c r="O20" s="41"/>
      <c r="S20" s="26">
        <f t="shared" ca="1" si="0"/>
        <v>45985</v>
      </c>
      <c r="T20" s="19">
        <f t="shared" ca="1" si="1"/>
        <v>45985.990154513885</v>
      </c>
      <c r="U20" s="15">
        <f t="shared" ca="1" si="7"/>
        <v>1</v>
      </c>
      <c r="V20" s="20">
        <f t="shared" ca="1" si="2"/>
        <v>45327</v>
      </c>
      <c r="W20" s="20">
        <f t="shared" si="3"/>
        <v>45443</v>
      </c>
      <c r="Y20" s="15" t="str">
        <f t="shared" si="4"/>
        <v>MC</v>
      </c>
      <c r="Z20" s="15" t="str">
        <f t="shared" si="5"/>
        <v>MARK CARTER</v>
      </c>
      <c r="AA20" s="15" t="str">
        <f t="shared" si="6"/>
        <v>mark carter</v>
      </c>
      <c r="AB20" s="40"/>
      <c r="AP20" s="18" t="str">
        <v>Premium</v>
      </c>
      <c r="AQ20" s="17">
        <v>2799.96</v>
      </c>
      <c r="AR20" s="15" t="str">
        <v>North</v>
      </c>
      <c r="AS20" s="15">
        <v>89.99</v>
      </c>
      <c r="AU20" s="15" t="str">
        <v>Barbara Young</v>
      </c>
      <c r="AW20" s="15">
        <f t="shared" si="10"/>
        <v>10649.8</v>
      </c>
      <c r="AX20" s="40"/>
    </row>
    <row r="21" spans="1:50" x14ac:dyDescent="0.35">
      <c r="A21" s="31" t="s">
        <v>92</v>
      </c>
      <c r="B21" s="22">
        <v>45410</v>
      </c>
      <c r="C21" s="22" t="s">
        <v>93</v>
      </c>
      <c r="D21" s="22" t="s">
        <v>94</v>
      </c>
      <c r="E21" s="22" t="s">
        <v>17</v>
      </c>
      <c r="F21" s="22" t="s">
        <v>18</v>
      </c>
      <c r="G21" s="22" t="s">
        <v>19</v>
      </c>
      <c r="H21" s="22">
        <v>3</v>
      </c>
      <c r="I21" s="22" t="s">
        <v>40</v>
      </c>
      <c r="J21" s="22">
        <v>249.99</v>
      </c>
      <c r="K21" s="22" t="s">
        <v>26</v>
      </c>
      <c r="L21" s="22" t="s">
        <v>27</v>
      </c>
      <c r="M21" s="22">
        <v>749.97</v>
      </c>
      <c r="N21" s="32">
        <v>45224</v>
      </c>
      <c r="O21" s="41"/>
      <c r="S21" s="27">
        <f t="shared" ca="1" si="0"/>
        <v>45985</v>
      </c>
      <c r="T21" s="19">
        <f t="shared" ca="1" si="1"/>
        <v>45985.990154629631</v>
      </c>
      <c r="U21" s="15">
        <f t="shared" ca="1" si="7"/>
        <v>2</v>
      </c>
      <c r="V21" s="20">
        <f t="shared" ca="1" si="2"/>
        <v>45224</v>
      </c>
      <c r="W21" s="20">
        <f t="shared" si="3"/>
        <v>45322</v>
      </c>
      <c r="Y21" s="15" t="str">
        <f t="shared" si="4"/>
        <v>VS</v>
      </c>
      <c r="Z21" s="15" t="str">
        <f t="shared" si="5"/>
        <v>VIRGINIA SANDERS</v>
      </c>
      <c r="AA21" s="15" t="str">
        <f t="shared" si="6"/>
        <v>virginia sanders</v>
      </c>
      <c r="AB21" s="40"/>
      <c r="AP21" s="18" t="str">
        <v>Premium</v>
      </c>
      <c r="AQ21" s="17">
        <v>3499.95</v>
      </c>
      <c r="AR21" s="15" t="str">
        <v>South</v>
      </c>
      <c r="AS21" s="15">
        <v>89.99</v>
      </c>
      <c r="AU21" s="15" t="str">
        <v>Patricia Moore</v>
      </c>
      <c r="AW21" s="15">
        <f t="shared" si="10"/>
        <v>9799.73</v>
      </c>
      <c r="AX21" s="40"/>
    </row>
    <row r="22" spans="1:50" x14ac:dyDescent="0.35">
      <c r="A22" s="31" t="s">
        <v>95</v>
      </c>
      <c r="B22" s="22">
        <v>45412</v>
      </c>
      <c r="C22" s="22" t="s">
        <v>96</v>
      </c>
      <c r="D22" s="22" t="s">
        <v>97</v>
      </c>
      <c r="E22" s="22" t="s">
        <v>80</v>
      </c>
      <c r="F22" s="22" t="s">
        <v>81</v>
      </c>
      <c r="G22" s="22" t="s">
        <v>19</v>
      </c>
      <c r="H22" s="22">
        <v>5</v>
      </c>
      <c r="I22" s="22" t="s">
        <v>50</v>
      </c>
      <c r="J22" s="22">
        <v>699.99</v>
      </c>
      <c r="K22" s="22" t="s">
        <v>20</v>
      </c>
      <c r="L22" s="22" t="s">
        <v>22</v>
      </c>
      <c r="M22" s="22">
        <v>3499.95</v>
      </c>
      <c r="N22" s="32">
        <v>45167</v>
      </c>
      <c r="O22" s="41"/>
      <c r="S22" s="26">
        <f t="shared" ca="1" si="0"/>
        <v>45985</v>
      </c>
      <c r="T22" s="19">
        <f t="shared" ca="1" si="1"/>
        <v>45985.990154513885</v>
      </c>
      <c r="U22" s="15">
        <f t="shared" ca="1" si="7"/>
        <v>2</v>
      </c>
      <c r="V22" s="20">
        <f t="shared" ca="1" si="2"/>
        <v>45167</v>
      </c>
      <c r="W22" s="20">
        <f t="shared" si="3"/>
        <v>45260</v>
      </c>
      <c r="Y22" s="15" t="str">
        <f t="shared" si="4"/>
        <v>BY</v>
      </c>
      <c r="Z22" s="15" t="str">
        <f t="shared" si="5"/>
        <v>BARBARA YOUNG</v>
      </c>
      <c r="AA22" s="15" t="str">
        <f t="shared" si="6"/>
        <v>barbara young</v>
      </c>
      <c r="AB22" s="40"/>
      <c r="AP22" s="18" t="str">
        <v>Premium</v>
      </c>
      <c r="AQ22" s="17">
        <v>3499.95</v>
      </c>
      <c r="AR22" s="15" t="str">
        <v>South</v>
      </c>
      <c r="AS22" s="15">
        <v>89.99</v>
      </c>
      <c r="AU22" s="15" t="str">
        <v>Cynthia Price</v>
      </c>
      <c r="AW22" s="15">
        <f t="shared" si="10"/>
        <v>3769.8300000000004</v>
      </c>
      <c r="AX22" s="40"/>
    </row>
    <row r="23" spans="1:50" x14ac:dyDescent="0.35">
      <c r="A23" s="31" t="s">
        <v>98</v>
      </c>
      <c r="B23" s="22">
        <v>45413</v>
      </c>
      <c r="C23" s="22" t="s">
        <v>99</v>
      </c>
      <c r="D23" s="22" t="s">
        <v>100</v>
      </c>
      <c r="E23" s="22" t="s">
        <v>80</v>
      </c>
      <c r="F23" s="22" t="s">
        <v>81</v>
      </c>
      <c r="G23" s="22" t="s">
        <v>19</v>
      </c>
      <c r="H23" s="22">
        <v>4</v>
      </c>
      <c r="I23" s="22" t="s">
        <v>63</v>
      </c>
      <c r="J23" s="22">
        <v>699.99</v>
      </c>
      <c r="K23" s="22" t="s">
        <v>20</v>
      </c>
      <c r="L23" s="22" t="s">
        <v>36</v>
      </c>
      <c r="M23" s="22">
        <v>2799.96</v>
      </c>
      <c r="N23" s="32">
        <v>44409</v>
      </c>
      <c r="O23" s="41"/>
      <c r="S23" s="27">
        <f t="shared" ca="1" si="0"/>
        <v>45985</v>
      </c>
      <c r="T23" s="19">
        <f t="shared" ca="1" si="1"/>
        <v>45985.990154629631</v>
      </c>
      <c r="U23" s="15">
        <f t="shared" ca="1" si="7"/>
        <v>4</v>
      </c>
      <c r="V23" s="20">
        <f t="shared" ca="1" si="2"/>
        <v>44409</v>
      </c>
      <c r="W23" s="20">
        <f t="shared" si="3"/>
        <v>44530</v>
      </c>
      <c r="Y23" s="15" t="str">
        <f t="shared" si="4"/>
        <v>PM</v>
      </c>
      <c r="Z23" s="15" t="str">
        <f t="shared" si="5"/>
        <v>PATRICIA MOORE</v>
      </c>
      <c r="AA23" s="15" t="str">
        <f t="shared" si="6"/>
        <v>patricia moore</v>
      </c>
      <c r="AB23" s="40"/>
      <c r="AP23" s="18" t="str">
        <v>Premium</v>
      </c>
      <c r="AQ23" s="17">
        <v>4499.95</v>
      </c>
      <c r="AR23" s="15" t="str">
        <v>South</v>
      </c>
      <c r="AS23" s="15">
        <v>899.99</v>
      </c>
      <c r="AU23" s="15" t="str">
        <v>Nancy Collins</v>
      </c>
      <c r="AW23" s="15">
        <f t="shared" si="10"/>
        <v>4189.7700000000004</v>
      </c>
      <c r="AX23" s="40"/>
    </row>
    <row r="24" spans="1:50" x14ac:dyDescent="0.35">
      <c r="A24" s="31" t="s">
        <v>101</v>
      </c>
      <c r="B24" s="22">
        <v>45415</v>
      </c>
      <c r="C24" s="22" t="s">
        <v>102</v>
      </c>
      <c r="D24" s="22" t="s">
        <v>103</v>
      </c>
      <c r="E24" s="22" t="s">
        <v>17</v>
      </c>
      <c r="F24" s="22" t="s">
        <v>18</v>
      </c>
      <c r="G24" s="22" t="s">
        <v>19</v>
      </c>
      <c r="H24" s="22">
        <v>4</v>
      </c>
      <c r="I24" s="22" t="s">
        <v>40</v>
      </c>
      <c r="J24" s="22">
        <v>249.99</v>
      </c>
      <c r="K24" s="22" t="s">
        <v>34</v>
      </c>
      <c r="L24" s="22" t="s">
        <v>36</v>
      </c>
      <c r="M24" s="22">
        <v>999.96</v>
      </c>
      <c r="N24" s="32">
        <v>44468</v>
      </c>
      <c r="O24" s="41"/>
      <c r="S24" s="26">
        <f t="shared" ca="1" si="0"/>
        <v>45985</v>
      </c>
      <c r="T24" s="19">
        <f t="shared" ca="1" si="1"/>
        <v>45985.990154513885</v>
      </c>
      <c r="U24" s="15">
        <f t="shared" ca="1" si="7"/>
        <v>4</v>
      </c>
      <c r="V24" s="20">
        <f t="shared" ca="1" si="2"/>
        <v>44468</v>
      </c>
      <c r="W24" s="20">
        <f t="shared" si="3"/>
        <v>44561</v>
      </c>
      <c r="Y24" s="15" t="str">
        <f t="shared" si="4"/>
        <v>CP</v>
      </c>
      <c r="Z24" s="15" t="str">
        <f t="shared" si="5"/>
        <v>CYNTHIA PRICE</v>
      </c>
      <c r="AA24" s="15" t="str">
        <f t="shared" si="6"/>
        <v>cynthia price</v>
      </c>
      <c r="AB24" s="40"/>
      <c r="AP24" s="18" t="str">
        <v>Premium</v>
      </c>
      <c r="AQ24" s="17">
        <v>2699.97</v>
      </c>
      <c r="AR24" s="15" t="str">
        <v>South</v>
      </c>
      <c r="AS24" s="15">
        <v>89.99</v>
      </c>
      <c r="AU24" s="15" t="str">
        <v>Linda Martin</v>
      </c>
      <c r="AW24" s="15">
        <f t="shared" si="10"/>
        <v>1289.9000000000001</v>
      </c>
      <c r="AX24" s="40"/>
    </row>
    <row r="25" spans="1:50" x14ac:dyDescent="0.35">
      <c r="A25" s="31" t="s">
        <v>104</v>
      </c>
      <c r="B25" s="22">
        <v>45416</v>
      </c>
      <c r="C25" s="22" t="s">
        <v>86</v>
      </c>
      <c r="D25" s="22" t="s">
        <v>87</v>
      </c>
      <c r="E25" s="22" t="s">
        <v>105</v>
      </c>
      <c r="F25" s="22" t="s">
        <v>106</v>
      </c>
      <c r="G25" s="22" t="s">
        <v>46</v>
      </c>
      <c r="H25" s="22">
        <v>4</v>
      </c>
      <c r="I25" s="22" t="s">
        <v>50</v>
      </c>
      <c r="J25" s="22">
        <v>299.99</v>
      </c>
      <c r="K25" s="22" t="s">
        <v>20</v>
      </c>
      <c r="L25" s="22" t="s">
        <v>27</v>
      </c>
      <c r="M25" s="22">
        <v>1199.96</v>
      </c>
      <c r="N25" s="32">
        <v>44716</v>
      </c>
      <c r="O25" s="41"/>
      <c r="S25" s="27">
        <f t="shared" ca="1" si="0"/>
        <v>45985</v>
      </c>
      <c r="T25" s="19">
        <f t="shared" ca="1" si="1"/>
        <v>45985.990154629631</v>
      </c>
      <c r="U25" s="15">
        <f t="shared" ca="1" si="7"/>
        <v>3</v>
      </c>
      <c r="V25" s="20">
        <f t="shared" ca="1" si="2"/>
        <v>44716</v>
      </c>
      <c r="W25" s="20">
        <f t="shared" si="3"/>
        <v>44834</v>
      </c>
      <c r="Y25" s="15" t="str">
        <f t="shared" si="4"/>
        <v>MC</v>
      </c>
      <c r="Z25" s="15" t="str">
        <f t="shared" si="5"/>
        <v>MARK CARTER</v>
      </c>
      <c r="AA25" s="15" t="str">
        <f t="shared" si="6"/>
        <v>mark carter</v>
      </c>
      <c r="AB25" s="40"/>
      <c r="AR25" s="15" t="str">
        <v>South</v>
      </c>
      <c r="AS25" s="15">
        <v>89.99</v>
      </c>
      <c r="AU25" s="15" t="str">
        <v>Helen Roberts</v>
      </c>
      <c r="AW25" s="15">
        <f t="shared" si="10"/>
        <v>6459.79</v>
      </c>
      <c r="AX25" s="40"/>
    </row>
    <row r="26" spans="1:50" x14ac:dyDescent="0.35">
      <c r="A26" s="31" t="s">
        <v>107</v>
      </c>
      <c r="B26" s="22">
        <v>45422</v>
      </c>
      <c r="C26" s="22" t="s">
        <v>108</v>
      </c>
      <c r="D26" s="22" t="s">
        <v>109</v>
      </c>
      <c r="E26" s="22" t="s">
        <v>17</v>
      </c>
      <c r="F26" s="22" t="s">
        <v>18</v>
      </c>
      <c r="G26" s="22" t="s">
        <v>19</v>
      </c>
      <c r="H26" s="22">
        <v>5</v>
      </c>
      <c r="I26" s="22" t="s">
        <v>50</v>
      </c>
      <c r="J26" s="22">
        <v>249.99</v>
      </c>
      <c r="K26" s="22" t="s">
        <v>26</v>
      </c>
      <c r="L26" s="22" t="s">
        <v>36</v>
      </c>
      <c r="M26" s="22">
        <v>1249.95</v>
      </c>
      <c r="N26" s="32">
        <v>44525</v>
      </c>
      <c r="O26" s="41"/>
      <c r="S26" s="26">
        <f t="shared" ca="1" si="0"/>
        <v>45985</v>
      </c>
      <c r="T26" s="19">
        <f t="shared" ca="1" si="1"/>
        <v>45985.990154513885</v>
      </c>
      <c r="U26" s="15">
        <f t="shared" ca="1" si="7"/>
        <v>3</v>
      </c>
      <c r="V26" s="20">
        <f t="shared" ca="1" si="2"/>
        <v>44525</v>
      </c>
      <c r="W26" s="20">
        <f t="shared" si="3"/>
        <v>44620</v>
      </c>
      <c r="Y26" s="15" t="str">
        <f t="shared" si="4"/>
        <v>NC</v>
      </c>
      <c r="Z26" s="15" t="str">
        <f t="shared" si="5"/>
        <v>NANCY COLLINS</v>
      </c>
      <c r="AA26" s="15" t="str">
        <f t="shared" si="6"/>
        <v>nancy collins</v>
      </c>
      <c r="AB26" s="40"/>
      <c r="AR26" s="15" t="str">
        <v>North</v>
      </c>
      <c r="AS26" s="15">
        <v>149.99</v>
      </c>
      <c r="AU26" s="15" t="str">
        <v>Edward Mitchell</v>
      </c>
      <c r="AW26" s="15">
        <f t="shared" si="10"/>
        <v>11919.769999999999</v>
      </c>
      <c r="AX26" s="40"/>
    </row>
    <row r="27" spans="1:50" x14ac:dyDescent="0.35">
      <c r="A27" s="31" t="s">
        <v>110</v>
      </c>
      <c r="B27" s="22">
        <v>45424</v>
      </c>
      <c r="C27" s="22" t="s">
        <v>68</v>
      </c>
      <c r="D27" s="22" t="s">
        <v>69</v>
      </c>
      <c r="E27" s="22" t="s">
        <v>105</v>
      </c>
      <c r="F27" s="22" t="s">
        <v>106</v>
      </c>
      <c r="G27" s="22" t="s">
        <v>46</v>
      </c>
      <c r="H27" s="22">
        <v>5</v>
      </c>
      <c r="I27" s="22" t="s">
        <v>63</v>
      </c>
      <c r="J27" s="22">
        <v>299.99</v>
      </c>
      <c r="K27" s="22" t="s">
        <v>34</v>
      </c>
      <c r="L27" s="22" t="s">
        <v>22</v>
      </c>
      <c r="M27" s="22">
        <v>1499.95</v>
      </c>
      <c r="N27" s="32">
        <v>45168</v>
      </c>
      <c r="O27" s="41"/>
      <c r="S27" s="27">
        <f t="shared" ca="1" si="0"/>
        <v>45985</v>
      </c>
      <c r="T27" s="19">
        <f t="shared" ca="1" si="1"/>
        <v>45985.990154629631</v>
      </c>
      <c r="U27" s="15">
        <f t="shared" ca="1" si="7"/>
        <v>2</v>
      </c>
      <c r="V27" s="20">
        <f t="shared" ca="1" si="2"/>
        <v>45168</v>
      </c>
      <c r="W27" s="20">
        <f t="shared" si="3"/>
        <v>45260</v>
      </c>
      <c r="Y27" s="15" t="str">
        <f t="shared" si="4"/>
        <v>SG</v>
      </c>
      <c r="Z27" s="15" t="str">
        <f t="shared" si="5"/>
        <v>SUSAN GREEN</v>
      </c>
      <c r="AA27" s="15" t="str">
        <f t="shared" si="6"/>
        <v>susan green</v>
      </c>
      <c r="AB27" s="40"/>
      <c r="AR27" s="15" t="str">
        <v>North</v>
      </c>
      <c r="AS27" s="15">
        <v>89.99</v>
      </c>
      <c r="AU27" s="15" t="str">
        <v>Lisa Anderson</v>
      </c>
      <c r="AW27" s="15">
        <f t="shared" si="10"/>
        <v>2039.8000000000002</v>
      </c>
      <c r="AX27" s="40"/>
    </row>
    <row r="28" spans="1:50" ht="16.5" customHeight="1" x14ac:dyDescent="0.35">
      <c r="A28" s="31" t="s">
        <v>111</v>
      </c>
      <c r="B28" s="22">
        <v>45424</v>
      </c>
      <c r="C28" s="22" t="s">
        <v>112</v>
      </c>
      <c r="D28" s="22" t="s">
        <v>113</v>
      </c>
      <c r="E28" s="22" t="s">
        <v>114</v>
      </c>
      <c r="F28" s="22" t="s">
        <v>115</v>
      </c>
      <c r="G28" s="22" t="s">
        <v>33</v>
      </c>
      <c r="H28" s="22">
        <v>3</v>
      </c>
      <c r="I28" s="22" t="s">
        <v>63</v>
      </c>
      <c r="J28" s="22">
        <v>79.989999999999995</v>
      </c>
      <c r="K28" s="22" t="s">
        <v>34</v>
      </c>
      <c r="L28" s="22" t="s">
        <v>27</v>
      </c>
      <c r="M28" s="22">
        <v>239.97</v>
      </c>
      <c r="N28" s="32">
        <v>45012</v>
      </c>
      <c r="O28" s="41"/>
      <c r="S28" s="26">
        <f t="shared" ca="1" si="0"/>
        <v>45985</v>
      </c>
      <c r="T28" s="19">
        <f t="shared" ca="1" si="1"/>
        <v>45985.990154513885</v>
      </c>
      <c r="U28" s="15">
        <f t="shared" ca="1" si="7"/>
        <v>2</v>
      </c>
      <c r="V28" s="20">
        <f t="shared" ca="1" si="2"/>
        <v>45012</v>
      </c>
      <c r="W28" s="20">
        <f t="shared" si="3"/>
        <v>45107</v>
      </c>
      <c r="Y28" s="15" t="str">
        <f t="shared" si="4"/>
        <v>LM</v>
      </c>
      <c r="Z28" s="15" t="str">
        <f t="shared" si="5"/>
        <v>LINDA MARTIN</v>
      </c>
      <c r="AA28" s="15" t="str">
        <f t="shared" si="6"/>
        <v>linda martin</v>
      </c>
      <c r="AB28" s="40"/>
      <c r="AR28" s="15" t="str">
        <v>South</v>
      </c>
      <c r="AS28" s="15">
        <v>59.99</v>
      </c>
      <c r="AU28" s="15" t="str">
        <v>Emma Wilson</v>
      </c>
      <c r="AW28" s="15">
        <f t="shared" si="10"/>
        <v>1229.8800000000001</v>
      </c>
      <c r="AX28" s="40"/>
    </row>
    <row r="29" spans="1:50" ht="16.5" customHeight="1" x14ac:dyDescent="0.35">
      <c r="A29" s="31" t="s">
        <v>116</v>
      </c>
      <c r="B29" s="22">
        <v>45424</v>
      </c>
      <c r="C29" s="22" t="s">
        <v>99</v>
      </c>
      <c r="D29" s="22" t="s">
        <v>100</v>
      </c>
      <c r="E29" s="22" t="s">
        <v>117</v>
      </c>
      <c r="F29" s="22" t="s">
        <v>118</v>
      </c>
      <c r="G29" s="22" t="s">
        <v>19</v>
      </c>
      <c r="H29" s="22">
        <v>5</v>
      </c>
      <c r="I29" s="22" t="s">
        <v>40</v>
      </c>
      <c r="J29" s="22">
        <v>89.99</v>
      </c>
      <c r="K29" s="22" t="s">
        <v>20</v>
      </c>
      <c r="L29" s="22" t="s">
        <v>27</v>
      </c>
      <c r="M29" s="22">
        <v>449.95</v>
      </c>
      <c r="N29" s="32">
        <v>44919</v>
      </c>
      <c r="O29" s="41"/>
      <c r="S29" s="27">
        <f t="shared" ca="1" si="0"/>
        <v>45985</v>
      </c>
      <c r="T29" s="19">
        <f t="shared" ca="1" si="1"/>
        <v>45985.990154629631</v>
      </c>
      <c r="U29" s="15">
        <f t="shared" ca="1" si="7"/>
        <v>2</v>
      </c>
      <c r="V29" s="20">
        <f t="shared" ca="1" si="2"/>
        <v>44919</v>
      </c>
      <c r="W29" s="20">
        <f t="shared" si="3"/>
        <v>45016</v>
      </c>
      <c r="Y29" s="15" t="str">
        <f t="shared" si="4"/>
        <v>PM</v>
      </c>
      <c r="Z29" s="15" t="str">
        <f t="shared" si="5"/>
        <v>PATRICIA MOORE</v>
      </c>
      <c r="AA29" s="15" t="str">
        <f t="shared" si="6"/>
        <v>patricia moore</v>
      </c>
      <c r="AB29" s="40"/>
      <c r="AR29" s="15" t="str">
        <v>North</v>
      </c>
      <c r="AS29" s="15">
        <v>299.99</v>
      </c>
      <c r="AU29" s="15" t="str">
        <v>Steven Turner</v>
      </c>
      <c r="AW29" s="15">
        <f t="shared" si="10"/>
        <v>2649.83</v>
      </c>
      <c r="AX29" s="40"/>
    </row>
    <row r="30" spans="1:50" ht="16.5" customHeight="1" x14ac:dyDescent="0.35">
      <c r="A30" s="31" t="s">
        <v>119</v>
      </c>
      <c r="B30" s="22">
        <v>45425</v>
      </c>
      <c r="C30" s="22" t="s">
        <v>120</v>
      </c>
      <c r="D30" s="22" t="s">
        <v>121</v>
      </c>
      <c r="E30" s="22" t="s">
        <v>31</v>
      </c>
      <c r="F30" s="22" t="s">
        <v>32</v>
      </c>
      <c r="G30" s="22" t="s">
        <v>33</v>
      </c>
      <c r="H30" s="22">
        <v>2</v>
      </c>
      <c r="I30" s="22" t="s">
        <v>21</v>
      </c>
      <c r="J30" s="22">
        <v>59.99</v>
      </c>
      <c r="K30" s="22" t="s">
        <v>57</v>
      </c>
      <c r="L30" s="22" t="s">
        <v>36</v>
      </c>
      <c r="M30" s="22">
        <v>119.98</v>
      </c>
      <c r="N30" s="32">
        <v>45214</v>
      </c>
      <c r="O30" s="41"/>
      <c r="S30" s="26">
        <f t="shared" ca="1" si="0"/>
        <v>45985</v>
      </c>
      <c r="T30" s="19">
        <f t="shared" ca="1" si="1"/>
        <v>45985.990154513885</v>
      </c>
      <c r="U30" s="15">
        <f t="shared" ca="1" si="7"/>
        <v>2</v>
      </c>
      <c r="V30" s="20">
        <f t="shared" ca="1" si="2"/>
        <v>45214</v>
      </c>
      <c r="W30" s="20">
        <f t="shared" si="3"/>
        <v>45322</v>
      </c>
      <c r="Y30" s="15" t="str">
        <f t="shared" si="4"/>
        <v>HR</v>
      </c>
      <c r="Z30" s="15" t="str">
        <f t="shared" si="5"/>
        <v>HELEN ROBERTS</v>
      </c>
      <c r="AA30" s="15" t="str">
        <f t="shared" si="6"/>
        <v>helen roberts</v>
      </c>
      <c r="AB30" s="40"/>
      <c r="AR30" s="15" t="str">
        <v>North</v>
      </c>
      <c r="AS30" s="15">
        <v>199.99</v>
      </c>
      <c r="AU30" s="15" t="str">
        <v>Jennifer Taylor</v>
      </c>
      <c r="AW30" s="15">
        <f t="shared" si="10"/>
        <v>4739.8500000000004</v>
      </c>
      <c r="AX30" s="40"/>
    </row>
    <row r="31" spans="1:50" ht="16.5" customHeight="1" x14ac:dyDescent="0.35">
      <c r="A31" s="31" t="s">
        <v>122</v>
      </c>
      <c r="B31" s="22">
        <v>45427</v>
      </c>
      <c r="C31" s="22" t="s">
        <v>123</v>
      </c>
      <c r="D31" s="22" t="s">
        <v>124</v>
      </c>
      <c r="E31" s="22" t="s">
        <v>31</v>
      </c>
      <c r="F31" s="22" t="s">
        <v>32</v>
      </c>
      <c r="G31" s="22" t="s">
        <v>33</v>
      </c>
      <c r="H31" s="22">
        <v>4</v>
      </c>
      <c r="I31" s="22" t="s">
        <v>63</v>
      </c>
      <c r="J31" s="22">
        <v>59.99</v>
      </c>
      <c r="K31" s="22" t="s">
        <v>57</v>
      </c>
      <c r="L31" s="22" t="s">
        <v>36</v>
      </c>
      <c r="M31" s="22">
        <v>239.96</v>
      </c>
      <c r="N31" s="32">
        <v>44867</v>
      </c>
      <c r="O31" s="41"/>
      <c r="S31" s="27">
        <f t="shared" ca="1" si="0"/>
        <v>45985</v>
      </c>
      <c r="T31" s="19">
        <f t="shared" ca="1" si="1"/>
        <v>45985.990154629631</v>
      </c>
      <c r="U31" s="15">
        <f t="shared" ca="1" si="7"/>
        <v>3</v>
      </c>
      <c r="V31" s="20">
        <f t="shared" ca="1" si="2"/>
        <v>44867</v>
      </c>
      <c r="W31" s="20">
        <f t="shared" si="3"/>
        <v>44985</v>
      </c>
      <c r="Y31" s="15" t="str">
        <f t="shared" si="4"/>
        <v>EM</v>
      </c>
      <c r="Z31" s="15" t="str">
        <f t="shared" si="5"/>
        <v>EDWARD MITCHELL</v>
      </c>
      <c r="AA31" s="15" t="str">
        <f t="shared" si="6"/>
        <v>edward mitchell</v>
      </c>
      <c r="AB31" s="40"/>
      <c r="AR31" s="15" t="str">
        <v>North</v>
      </c>
      <c r="AS31" s="15">
        <v>199.99</v>
      </c>
      <c r="AU31" s="15" t="str">
        <v>Harry Morgan</v>
      </c>
      <c r="AW31" s="15">
        <f t="shared" si="10"/>
        <v>5519.8899999999994</v>
      </c>
      <c r="AX31" s="40"/>
    </row>
    <row r="32" spans="1:50" ht="16.5" customHeight="1" x14ac:dyDescent="0.35">
      <c r="A32" s="31" t="s">
        <v>125</v>
      </c>
      <c r="B32" s="22">
        <v>45427</v>
      </c>
      <c r="C32" s="22" t="s">
        <v>55</v>
      </c>
      <c r="D32" s="22" t="s">
        <v>56</v>
      </c>
      <c r="E32" s="22" t="s">
        <v>126</v>
      </c>
      <c r="F32" s="22" t="s">
        <v>127</v>
      </c>
      <c r="G32" s="22" t="s">
        <v>46</v>
      </c>
      <c r="H32" s="22">
        <v>5</v>
      </c>
      <c r="I32" s="22" t="s">
        <v>35</v>
      </c>
      <c r="J32" s="22">
        <v>199.99</v>
      </c>
      <c r="K32" s="22" t="s">
        <v>20</v>
      </c>
      <c r="L32" s="22" t="s">
        <v>36</v>
      </c>
      <c r="M32" s="22">
        <v>999.95</v>
      </c>
      <c r="N32" s="32">
        <v>44412</v>
      </c>
      <c r="O32" s="41"/>
      <c r="S32" s="26">
        <f t="shared" ca="1" si="0"/>
        <v>45985</v>
      </c>
      <c r="T32" s="19">
        <f t="shared" ca="1" si="1"/>
        <v>45985.990154513885</v>
      </c>
      <c r="U32" s="15">
        <f t="shared" ca="1" si="7"/>
        <v>4</v>
      </c>
      <c r="V32" s="20">
        <f t="shared" ca="1" si="2"/>
        <v>44412</v>
      </c>
      <c r="W32" s="20">
        <f t="shared" si="3"/>
        <v>44530</v>
      </c>
      <c r="Y32" s="15" t="str">
        <f t="shared" si="4"/>
        <v>CA</v>
      </c>
      <c r="Z32" s="15" t="str">
        <f t="shared" si="5"/>
        <v>CHARLES ALLEN</v>
      </c>
      <c r="AA32" s="15" t="str">
        <f t="shared" si="6"/>
        <v>charles allen</v>
      </c>
      <c r="AB32" s="40"/>
      <c r="AR32" s="15" t="str">
        <v>South</v>
      </c>
      <c r="AS32" s="15">
        <v>899.99</v>
      </c>
      <c r="AU32" s="15" t="str">
        <v>Daniel King</v>
      </c>
      <c r="AW32" s="15">
        <f t="shared" si="10"/>
        <v>7309.7999999999993</v>
      </c>
      <c r="AX32" s="40"/>
    </row>
    <row r="33" spans="1:50" ht="16.5" customHeight="1" x14ac:dyDescent="0.35">
      <c r="A33" s="31" t="s">
        <v>128</v>
      </c>
      <c r="B33" s="22">
        <v>45428</v>
      </c>
      <c r="C33" s="22" t="s">
        <v>129</v>
      </c>
      <c r="D33" s="22" t="s">
        <v>130</v>
      </c>
      <c r="E33" s="22" t="s">
        <v>44</v>
      </c>
      <c r="F33" s="22" t="s">
        <v>45</v>
      </c>
      <c r="G33" s="22" t="s">
        <v>46</v>
      </c>
      <c r="H33" s="22">
        <v>2</v>
      </c>
      <c r="I33" s="22" t="s">
        <v>50</v>
      </c>
      <c r="J33" s="22">
        <v>149.99</v>
      </c>
      <c r="K33" s="22" t="s">
        <v>26</v>
      </c>
      <c r="L33" s="22" t="s">
        <v>22</v>
      </c>
      <c r="M33" s="22">
        <v>299.98</v>
      </c>
      <c r="N33" s="32">
        <v>44823</v>
      </c>
      <c r="O33" s="41"/>
      <c r="S33" s="27">
        <f t="shared" ca="1" si="0"/>
        <v>45985</v>
      </c>
      <c r="T33" s="19">
        <f t="shared" ca="1" si="1"/>
        <v>45985.990154629631</v>
      </c>
      <c r="U33" s="15">
        <f t="shared" ca="1" si="7"/>
        <v>3</v>
      </c>
      <c r="V33" s="20">
        <f t="shared" ca="1" si="2"/>
        <v>44823</v>
      </c>
      <c r="W33" s="20">
        <f t="shared" si="3"/>
        <v>44926</v>
      </c>
      <c r="Y33" s="15" t="str">
        <f t="shared" si="4"/>
        <v>LA</v>
      </c>
      <c r="Z33" s="15" t="str">
        <f t="shared" si="5"/>
        <v>LISA ANDERSON</v>
      </c>
      <c r="AA33" s="15" t="str">
        <f t="shared" si="6"/>
        <v>lisa anderson</v>
      </c>
      <c r="AB33" s="40"/>
      <c r="AR33" s="15" t="str">
        <v>North</v>
      </c>
      <c r="AS33" s="15">
        <v>59.99</v>
      </c>
      <c r="AU33" s="15" t="str">
        <v>Sharon Butler</v>
      </c>
      <c r="AW33" s="15">
        <f t="shared" si="10"/>
        <v>5619.869999999999</v>
      </c>
      <c r="AX33" s="40"/>
    </row>
    <row r="34" spans="1:50" ht="16.5" customHeight="1" x14ac:dyDescent="0.35">
      <c r="A34" s="31" t="s">
        <v>131</v>
      </c>
      <c r="B34" s="22">
        <v>45430</v>
      </c>
      <c r="C34" s="22" t="s">
        <v>132</v>
      </c>
      <c r="D34" s="22" t="s">
        <v>133</v>
      </c>
      <c r="E34" s="22" t="s">
        <v>44</v>
      </c>
      <c r="F34" s="22" t="s">
        <v>45</v>
      </c>
      <c r="G34" s="22" t="s">
        <v>46</v>
      </c>
      <c r="H34" s="22">
        <v>3</v>
      </c>
      <c r="I34" s="22" t="s">
        <v>50</v>
      </c>
      <c r="J34" s="22">
        <v>149.99</v>
      </c>
      <c r="K34" s="22" t="s">
        <v>26</v>
      </c>
      <c r="L34" s="22" t="s">
        <v>27</v>
      </c>
      <c r="M34" s="22">
        <v>449.97</v>
      </c>
      <c r="N34" s="32">
        <v>45068</v>
      </c>
      <c r="O34" s="41"/>
      <c r="S34" s="26">
        <f t="shared" ca="1" si="0"/>
        <v>45985</v>
      </c>
      <c r="T34" s="19">
        <f t="shared" ca="1" si="1"/>
        <v>45985.990154513885</v>
      </c>
      <c r="U34" s="15">
        <f t="shared" ca="1" si="7"/>
        <v>2</v>
      </c>
      <c r="V34" s="20">
        <f t="shared" ca="1" si="2"/>
        <v>45068</v>
      </c>
      <c r="W34" s="20">
        <f t="shared" ref="W34:W65" si="11">EOMONTH(N34,3)</f>
        <v>45169</v>
      </c>
      <c r="Y34" s="15" t="str">
        <f t="shared" si="4"/>
        <v>EW</v>
      </c>
      <c r="Z34" s="15" t="str">
        <f t="shared" si="5"/>
        <v>EMMA WILSON</v>
      </c>
      <c r="AA34" s="15" t="str">
        <f t="shared" si="6"/>
        <v>emma wilson</v>
      </c>
      <c r="AB34" s="40"/>
      <c r="AR34" s="15" t="str">
        <v>North</v>
      </c>
      <c r="AS34" s="15">
        <v>249.99</v>
      </c>
      <c r="AU34" s="15" t="str">
        <v>Sarah Davis</v>
      </c>
      <c r="AW34" s="15">
        <f t="shared" si="10"/>
        <v>5499.8099999999995</v>
      </c>
      <c r="AX34" s="40"/>
    </row>
    <row r="35" spans="1:50" ht="16.5" customHeight="1" x14ac:dyDescent="0.35">
      <c r="A35" s="31" t="s">
        <v>134</v>
      </c>
      <c r="B35" s="22">
        <v>45432</v>
      </c>
      <c r="C35" s="22" t="s">
        <v>29</v>
      </c>
      <c r="D35" s="22" t="s">
        <v>30</v>
      </c>
      <c r="E35" s="22" t="s">
        <v>61</v>
      </c>
      <c r="F35" s="22" t="s">
        <v>62</v>
      </c>
      <c r="G35" s="22" t="s">
        <v>19</v>
      </c>
      <c r="H35" s="22">
        <v>1</v>
      </c>
      <c r="I35" s="22" t="s">
        <v>50</v>
      </c>
      <c r="J35" s="22">
        <v>899.99</v>
      </c>
      <c r="K35" s="22" t="s">
        <v>26</v>
      </c>
      <c r="L35" s="22" t="s">
        <v>27</v>
      </c>
      <c r="M35" s="22">
        <v>899.99</v>
      </c>
      <c r="N35" s="32">
        <v>44578</v>
      </c>
      <c r="O35" s="41"/>
      <c r="S35" s="27">
        <f t="shared" ca="1" si="0"/>
        <v>45985</v>
      </c>
      <c r="T35" s="19">
        <f t="shared" ca="1" si="1"/>
        <v>45985.990154629631</v>
      </c>
      <c r="U35" s="15">
        <f t="shared" ca="1" si="7"/>
        <v>3</v>
      </c>
      <c r="V35" s="20">
        <f t="shared" ca="1" si="2"/>
        <v>44578</v>
      </c>
      <c r="W35" s="20">
        <f t="shared" si="11"/>
        <v>44681</v>
      </c>
      <c r="Y35" s="15" t="str">
        <f t="shared" si="4"/>
        <v>KS</v>
      </c>
      <c r="Z35" s="15" t="str">
        <f t="shared" si="5"/>
        <v>KEVIN SCOTT</v>
      </c>
      <c r="AA35" s="15" t="str">
        <f t="shared" si="6"/>
        <v>kevin scott</v>
      </c>
      <c r="AB35" s="40"/>
      <c r="AR35" s="15" t="str">
        <v>South</v>
      </c>
      <c r="AS35" s="15">
        <v>299.99</v>
      </c>
      <c r="AU35" s="15" t="str">
        <v>Betty Campbell</v>
      </c>
      <c r="AW35" s="15">
        <f t="shared" si="10"/>
        <v>5649.84</v>
      </c>
      <c r="AX35" s="40"/>
    </row>
    <row r="36" spans="1:50" ht="16.5" customHeight="1" x14ac:dyDescent="0.35">
      <c r="A36" s="31" t="s">
        <v>135</v>
      </c>
      <c r="B36" s="22">
        <v>45434</v>
      </c>
      <c r="C36" s="22" t="s">
        <v>99</v>
      </c>
      <c r="D36" s="22" t="s">
        <v>100</v>
      </c>
      <c r="E36" s="22" t="s">
        <v>105</v>
      </c>
      <c r="F36" s="22" t="s">
        <v>106</v>
      </c>
      <c r="G36" s="22" t="s">
        <v>46</v>
      </c>
      <c r="H36" s="22">
        <v>3</v>
      </c>
      <c r="I36" s="22" t="s">
        <v>63</v>
      </c>
      <c r="J36" s="22">
        <v>299.99</v>
      </c>
      <c r="K36" s="22" t="s">
        <v>26</v>
      </c>
      <c r="L36" s="22" t="s">
        <v>22</v>
      </c>
      <c r="M36" s="22">
        <v>899.97</v>
      </c>
      <c r="N36" s="32">
        <v>44824</v>
      </c>
      <c r="O36" s="41"/>
      <c r="S36" s="26">
        <f t="shared" ca="1" si="0"/>
        <v>45985</v>
      </c>
      <c r="T36" s="19">
        <f t="shared" ca="1" si="1"/>
        <v>45985.990154513885</v>
      </c>
      <c r="U36" s="15">
        <f t="shared" ca="1" si="7"/>
        <v>3</v>
      </c>
      <c r="V36" s="20">
        <f t="shared" ca="1" si="2"/>
        <v>44824</v>
      </c>
      <c r="W36" s="20">
        <f t="shared" si="11"/>
        <v>44926</v>
      </c>
      <c r="Y36" s="15" t="str">
        <f t="shared" si="4"/>
        <v>PM</v>
      </c>
      <c r="Z36" s="15" t="str">
        <f t="shared" si="5"/>
        <v>PATRICIA MOORE</v>
      </c>
      <c r="AA36" s="15" t="str">
        <f t="shared" si="6"/>
        <v>patricia moore</v>
      </c>
      <c r="AB36" s="40"/>
      <c r="AR36" s="15" t="str">
        <v>South</v>
      </c>
      <c r="AS36" s="15">
        <v>89.99</v>
      </c>
      <c r="AU36" s="15" t="str">
        <v>Julie Foster</v>
      </c>
      <c r="AW36" s="15">
        <f t="shared" si="10"/>
        <v>239.96</v>
      </c>
      <c r="AX36" s="40"/>
    </row>
    <row r="37" spans="1:50" ht="16.5" customHeight="1" x14ac:dyDescent="0.35">
      <c r="A37" s="31" t="s">
        <v>136</v>
      </c>
      <c r="B37" s="22">
        <v>45435</v>
      </c>
      <c r="C37" s="22" t="s">
        <v>129</v>
      </c>
      <c r="D37" s="22" t="s">
        <v>130</v>
      </c>
      <c r="E37" s="22" t="s">
        <v>114</v>
      </c>
      <c r="F37" s="22" t="s">
        <v>115</v>
      </c>
      <c r="G37" s="22" t="s">
        <v>33</v>
      </c>
      <c r="H37" s="22">
        <v>3</v>
      </c>
      <c r="I37" s="22" t="s">
        <v>35</v>
      </c>
      <c r="J37" s="22">
        <v>79.989999999999995</v>
      </c>
      <c r="K37" s="22" t="s">
        <v>20</v>
      </c>
      <c r="L37" s="22" t="s">
        <v>22</v>
      </c>
      <c r="M37" s="22">
        <v>239.97</v>
      </c>
      <c r="N37" s="32">
        <v>45046</v>
      </c>
      <c r="O37" s="41"/>
      <c r="S37" s="27">
        <f t="shared" ca="1" si="0"/>
        <v>45985</v>
      </c>
      <c r="T37" s="19">
        <f t="shared" ca="1" si="1"/>
        <v>45985.990154629631</v>
      </c>
      <c r="U37" s="15">
        <f t="shared" ca="1" si="7"/>
        <v>2</v>
      </c>
      <c r="V37" s="20">
        <f t="shared" ca="1" si="2"/>
        <v>45046</v>
      </c>
      <c r="W37" s="20">
        <f t="shared" si="11"/>
        <v>45138</v>
      </c>
      <c r="Y37" s="15" t="str">
        <f t="shared" si="4"/>
        <v>LA</v>
      </c>
      <c r="Z37" s="15" t="str">
        <f t="shared" si="5"/>
        <v>LISA ANDERSON</v>
      </c>
      <c r="AA37" s="15" t="str">
        <f t="shared" si="6"/>
        <v>lisa anderson</v>
      </c>
      <c r="AB37" s="40"/>
      <c r="AR37" s="15" t="str">
        <v>North</v>
      </c>
      <c r="AS37" s="15">
        <v>699.99</v>
      </c>
      <c r="AU37" s="15" t="str">
        <v>Raymond Ross</v>
      </c>
      <c r="AW37" s="15">
        <f t="shared" si="10"/>
        <v>3669.8500000000004</v>
      </c>
      <c r="AX37" s="40"/>
    </row>
    <row r="38" spans="1:50" ht="16.5" customHeight="1" x14ac:dyDescent="0.35">
      <c r="A38" s="31" t="s">
        <v>137</v>
      </c>
      <c r="B38" s="22">
        <v>45438</v>
      </c>
      <c r="C38" s="22" t="s">
        <v>138</v>
      </c>
      <c r="D38" s="22" t="s">
        <v>139</v>
      </c>
      <c r="E38" s="22" t="s">
        <v>126</v>
      </c>
      <c r="F38" s="22" t="s">
        <v>127</v>
      </c>
      <c r="G38" s="22" t="s">
        <v>46</v>
      </c>
      <c r="H38" s="22">
        <v>3</v>
      </c>
      <c r="I38" s="22" t="s">
        <v>40</v>
      </c>
      <c r="J38" s="22">
        <v>199.99</v>
      </c>
      <c r="K38" s="22" t="s">
        <v>26</v>
      </c>
      <c r="L38" s="22" t="s">
        <v>27</v>
      </c>
      <c r="M38" s="22">
        <v>599.97</v>
      </c>
      <c r="N38" s="32">
        <v>45292</v>
      </c>
      <c r="O38" s="41"/>
      <c r="S38" s="26">
        <f t="shared" ca="1" si="0"/>
        <v>45985</v>
      </c>
      <c r="T38" s="19">
        <f t="shared" ca="1" si="1"/>
        <v>45985.990154513885</v>
      </c>
      <c r="U38" s="15">
        <f t="shared" ca="1" si="7"/>
        <v>1</v>
      </c>
      <c r="V38" s="20">
        <f t="shared" ca="1" si="2"/>
        <v>45292</v>
      </c>
      <c r="W38" s="20">
        <f t="shared" si="11"/>
        <v>45412</v>
      </c>
      <c r="Y38" s="15" t="str">
        <f t="shared" si="4"/>
        <v>ST</v>
      </c>
      <c r="Z38" s="15" t="str">
        <f t="shared" si="5"/>
        <v>STEVEN TURNER</v>
      </c>
      <c r="AA38" s="15" t="str">
        <f t="shared" si="6"/>
        <v>steven turner</v>
      </c>
      <c r="AB38" s="40"/>
      <c r="AR38" s="15" t="str">
        <v>South</v>
      </c>
      <c r="AS38" s="15">
        <v>899.99</v>
      </c>
      <c r="AU38" s="15" t="str">
        <v>David Martinez</v>
      </c>
      <c r="AW38" s="15">
        <f t="shared" si="10"/>
        <v>1809.84</v>
      </c>
      <c r="AX38" s="40"/>
    </row>
    <row r="39" spans="1:50" ht="16.5" customHeight="1" x14ac:dyDescent="0.35">
      <c r="A39" s="31" t="s">
        <v>140</v>
      </c>
      <c r="B39" s="22">
        <v>45440</v>
      </c>
      <c r="C39" s="22" t="s">
        <v>141</v>
      </c>
      <c r="D39" s="22" t="s">
        <v>142</v>
      </c>
      <c r="E39" s="22" t="s">
        <v>80</v>
      </c>
      <c r="F39" s="22" t="s">
        <v>81</v>
      </c>
      <c r="G39" s="22" t="s">
        <v>19</v>
      </c>
      <c r="H39" s="22">
        <v>5</v>
      </c>
      <c r="I39" s="22" t="s">
        <v>50</v>
      </c>
      <c r="J39" s="22">
        <v>699.99</v>
      </c>
      <c r="K39" s="22" t="s">
        <v>34</v>
      </c>
      <c r="L39" s="22" t="s">
        <v>36</v>
      </c>
      <c r="M39" s="22">
        <v>3499.95</v>
      </c>
      <c r="N39" s="32">
        <v>44407</v>
      </c>
      <c r="O39" s="41"/>
      <c r="S39" s="27">
        <f t="shared" ca="1" si="0"/>
        <v>45985</v>
      </c>
      <c r="T39" s="19">
        <f t="shared" ca="1" si="1"/>
        <v>45985.990154629631</v>
      </c>
      <c r="U39" s="15">
        <f t="shared" ca="1" si="7"/>
        <v>4</v>
      </c>
      <c r="V39" s="20">
        <f t="shared" ca="1" si="2"/>
        <v>44407</v>
      </c>
      <c r="W39" s="20">
        <f t="shared" si="11"/>
        <v>44500</v>
      </c>
      <c r="Y39" s="15" t="str">
        <f t="shared" si="4"/>
        <v>JT</v>
      </c>
      <c r="Z39" s="15" t="str">
        <f t="shared" si="5"/>
        <v>JENNIFER TAYLOR</v>
      </c>
      <c r="AA39" s="15" t="str">
        <f t="shared" si="6"/>
        <v>jennifer taylor</v>
      </c>
      <c r="AB39" s="40"/>
      <c r="AR39" s="15" t="str">
        <v>North</v>
      </c>
      <c r="AS39" s="15">
        <v>89.99</v>
      </c>
      <c r="AU39" s="15" t="str">
        <v>Margaret Wright</v>
      </c>
      <c r="AW39" s="15">
        <f t="shared" si="10"/>
        <v>2099.88</v>
      </c>
      <c r="AX39" s="40"/>
    </row>
    <row r="40" spans="1:50" ht="16.5" customHeight="1" x14ac:dyDescent="0.35">
      <c r="A40" s="31" t="s">
        <v>143</v>
      </c>
      <c r="B40" s="22">
        <v>45441</v>
      </c>
      <c r="C40" s="22" t="s">
        <v>144</v>
      </c>
      <c r="D40" s="22" t="s">
        <v>145</v>
      </c>
      <c r="E40" s="22" t="s">
        <v>117</v>
      </c>
      <c r="F40" s="22" t="s">
        <v>118</v>
      </c>
      <c r="G40" s="22" t="s">
        <v>19</v>
      </c>
      <c r="H40" s="22">
        <v>3</v>
      </c>
      <c r="I40" s="22" t="s">
        <v>21</v>
      </c>
      <c r="J40" s="22">
        <v>89.99</v>
      </c>
      <c r="K40" s="22" t="s">
        <v>34</v>
      </c>
      <c r="L40" s="22" t="s">
        <v>27</v>
      </c>
      <c r="M40" s="22">
        <v>269.97000000000003</v>
      </c>
      <c r="N40" s="32">
        <v>45120</v>
      </c>
      <c r="O40" s="41"/>
      <c r="S40" s="26">
        <f t="shared" ca="1" si="0"/>
        <v>45985</v>
      </c>
      <c r="T40" s="19">
        <f t="shared" ca="1" si="1"/>
        <v>45985.990154513885</v>
      </c>
      <c r="U40" s="15">
        <f t="shared" ca="1" si="7"/>
        <v>2</v>
      </c>
      <c r="V40" s="20">
        <f t="shared" ca="1" si="2"/>
        <v>45120</v>
      </c>
      <c r="W40" s="20">
        <f t="shared" si="11"/>
        <v>45230</v>
      </c>
      <c r="Y40" s="15" t="str">
        <f t="shared" si="4"/>
        <v>HM</v>
      </c>
      <c r="Z40" s="15" t="str">
        <f t="shared" si="5"/>
        <v>HARRY MORGAN</v>
      </c>
      <c r="AA40" s="15" t="str">
        <f t="shared" si="6"/>
        <v>harry morgan</v>
      </c>
      <c r="AB40" s="40"/>
      <c r="AR40" s="15" t="str">
        <v>North</v>
      </c>
      <c r="AS40" s="15">
        <v>299.99</v>
      </c>
      <c r="AU40" s="15" t="str">
        <v>Frank Torres</v>
      </c>
      <c r="AW40" s="15">
        <f t="shared" si="10"/>
        <v>1479.91</v>
      </c>
      <c r="AX40" s="40"/>
    </row>
    <row r="41" spans="1:50" ht="16.5" customHeight="1" x14ac:dyDescent="0.35">
      <c r="A41" s="31" t="s">
        <v>146</v>
      </c>
      <c r="B41" s="22">
        <v>45443</v>
      </c>
      <c r="C41" s="22" t="s">
        <v>147</v>
      </c>
      <c r="D41" s="22" t="s">
        <v>148</v>
      </c>
      <c r="E41" s="22" t="s">
        <v>114</v>
      </c>
      <c r="F41" s="22" t="s">
        <v>115</v>
      </c>
      <c r="G41" s="22" t="s">
        <v>33</v>
      </c>
      <c r="H41" s="22">
        <v>1</v>
      </c>
      <c r="I41" s="22" t="s">
        <v>40</v>
      </c>
      <c r="J41" s="22">
        <v>79.989999999999995</v>
      </c>
      <c r="K41" s="22" t="s">
        <v>20</v>
      </c>
      <c r="L41" s="22" t="s">
        <v>36</v>
      </c>
      <c r="M41" s="22">
        <v>79.989999999999995</v>
      </c>
      <c r="N41" s="32">
        <v>44917</v>
      </c>
      <c r="O41" s="41"/>
      <c r="S41" s="27">
        <f t="shared" ca="1" si="0"/>
        <v>45985</v>
      </c>
      <c r="T41" s="19">
        <f t="shared" ca="1" si="1"/>
        <v>45985.990154629631</v>
      </c>
      <c r="U41" s="15">
        <f t="shared" ca="1" si="7"/>
        <v>2</v>
      </c>
      <c r="V41" s="20">
        <f t="shared" ca="1" si="2"/>
        <v>44917</v>
      </c>
      <c r="W41" s="20">
        <f t="shared" si="11"/>
        <v>45016</v>
      </c>
      <c r="Y41" s="15" t="str">
        <f t="shared" si="4"/>
        <v>DK</v>
      </c>
      <c r="Z41" s="15" t="str">
        <f t="shared" si="5"/>
        <v>DANIEL KING</v>
      </c>
      <c r="AA41" s="15" t="str">
        <f t="shared" si="6"/>
        <v>daniel king</v>
      </c>
      <c r="AB41" s="40"/>
      <c r="AR41" s="15" t="str">
        <v>South</v>
      </c>
      <c r="AS41" s="15">
        <v>149.99</v>
      </c>
      <c r="AU41" s="15" t="str">
        <v>Gerald Murphy</v>
      </c>
      <c r="AW41" s="15">
        <f t="shared" si="10"/>
        <v>6379.87</v>
      </c>
      <c r="AX41" s="40"/>
    </row>
    <row r="42" spans="1:50" ht="16.5" customHeight="1" x14ac:dyDescent="0.35">
      <c r="A42" s="31" t="s">
        <v>149</v>
      </c>
      <c r="B42" s="22">
        <v>45444</v>
      </c>
      <c r="C42" s="22" t="s">
        <v>150</v>
      </c>
      <c r="D42" s="22" t="s">
        <v>151</v>
      </c>
      <c r="E42" s="22" t="s">
        <v>31</v>
      </c>
      <c r="F42" s="22" t="s">
        <v>32</v>
      </c>
      <c r="G42" s="22" t="s">
        <v>33</v>
      </c>
      <c r="H42" s="22">
        <v>2</v>
      </c>
      <c r="I42" s="22" t="s">
        <v>50</v>
      </c>
      <c r="J42" s="22">
        <v>59.99</v>
      </c>
      <c r="K42" s="22" t="s">
        <v>20</v>
      </c>
      <c r="L42" s="22" t="s">
        <v>22</v>
      </c>
      <c r="M42" s="22">
        <v>119.98</v>
      </c>
      <c r="N42" s="32">
        <v>45390</v>
      </c>
      <c r="O42" s="41"/>
      <c r="S42" s="26">
        <f t="shared" ca="1" si="0"/>
        <v>45985</v>
      </c>
      <c r="T42" s="19">
        <f t="shared" ca="1" si="1"/>
        <v>45985.990154513885</v>
      </c>
      <c r="U42" s="15">
        <f t="shared" ca="1" si="7"/>
        <v>1</v>
      </c>
      <c r="V42" s="20">
        <f t="shared" ca="1" si="2"/>
        <v>45390</v>
      </c>
      <c r="W42" s="20">
        <f t="shared" si="11"/>
        <v>45504</v>
      </c>
      <c r="Y42" s="15" t="str">
        <f t="shared" si="4"/>
        <v>SB</v>
      </c>
      <c r="Z42" s="15" t="str">
        <f t="shared" si="5"/>
        <v>SHARON BUTLER</v>
      </c>
      <c r="AA42" s="15" t="str">
        <f t="shared" si="6"/>
        <v>sharon butler</v>
      </c>
      <c r="AB42" s="40"/>
      <c r="AR42" s="15" t="str">
        <v>North</v>
      </c>
      <c r="AS42" s="15">
        <v>249.99</v>
      </c>
      <c r="AU42" s="15" t="str">
        <v>Elizabeth Hall</v>
      </c>
      <c r="AW42" s="15">
        <f t="shared" si="10"/>
        <v>3649.8599999999997</v>
      </c>
      <c r="AX42" s="40"/>
    </row>
    <row r="43" spans="1:50" ht="16.5" customHeight="1" x14ac:dyDescent="0.35">
      <c r="A43" s="31" t="s">
        <v>152</v>
      </c>
      <c r="B43" s="22">
        <v>45444</v>
      </c>
      <c r="C43" s="22" t="s">
        <v>55</v>
      </c>
      <c r="D43" s="22" t="s">
        <v>56</v>
      </c>
      <c r="E43" s="22" t="s">
        <v>117</v>
      </c>
      <c r="F43" s="22" t="s">
        <v>118</v>
      </c>
      <c r="G43" s="22" t="s">
        <v>19</v>
      </c>
      <c r="H43" s="22">
        <v>1</v>
      </c>
      <c r="I43" s="22" t="s">
        <v>40</v>
      </c>
      <c r="J43" s="22">
        <v>89.99</v>
      </c>
      <c r="K43" s="22" t="s">
        <v>20</v>
      </c>
      <c r="L43" s="22" t="s">
        <v>22</v>
      </c>
      <c r="M43" s="22">
        <v>89.99</v>
      </c>
      <c r="N43" s="32">
        <v>45141</v>
      </c>
      <c r="O43" s="41"/>
      <c r="S43" s="27">
        <f t="shared" ca="1" si="0"/>
        <v>45985</v>
      </c>
      <c r="T43" s="19">
        <f t="shared" ca="1" si="1"/>
        <v>45985.990154629631</v>
      </c>
      <c r="U43" s="15">
        <f t="shared" ca="1" si="7"/>
        <v>2</v>
      </c>
      <c r="V43" s="20">
        <f t="shared" ca="1" si="2"/>
        <v>45141</v>
      </c>
      <c r="W43" s="20">
        <f t="shared" si="11"/>
        <v>45260</v>
      </c>
      <c r="Y43" s="15" t="str">
        <f t="shared" si="4"/>
        <v>CA</v>
      </c>
      <c r="Z43" s="15" t="str">
        <f t="shared" si="5"/>
        <v>CHARLES ALLEN</v>
      </c>
      <c r="AA43" s="15" t="str">
        <f t="shared" si="6"/>
        <v>charles allen</v>
      </c>
      <c r="AB43" s="40"/>
      <c r="AR43" s="15" t="str">
        <v>North</v>
      </c>
      <c r="AS43" s="15">
        <v>199.99</v>
      </c>
      <c r="AU43" s="15" t="str">
        <v>Lawrence Reed</v>
      </c>
      <c r="AW43" s="15">
        <f t="shared" si="10"/>
        <v>6989.7699999999986</v>
      </c>
      <c r="AX43" s="40"/>
    </row>
    <row r="44" spans="1:50" ht="16.5" customHeight="1" x14ac:dyDescent="0.35">
      <c r="A44" s="31" t="s">
        <v>153</v>
      </c>
      <c r="B44" s="22">
        <v>45446</v>
      </c>
      <c r="C44" s="22" t="s">
        <v>154</v>
      </c>
      <c r="D44" s="22" t="s">
        <v>155</v>
      </c>
      <c r="E44" s="22" t="s">
        <v>117</v>
      </c>
      <c r="F44" s="22" t="s">
        <v>118</v>
      </c>
      <c r="G44" s="22" t="s">
        <v>19</v>
      </c>
      <c r="H44" s="22">
        <v>5</v>
      </c>
      <c r="I44" s="22" t="s">
        <v>63</v>
      </c>
      <c r="J44" s="22">
        <v>89.99</v>
      </c>
      <c r="K44" s="22" t="s">
        <v>26</v>
      </c>
      <c r="L44" s="22" t="s">
        <v>36</v>
      </c>
      <c r="M44" s="22">
        <v>449.95</v>
      </c>
      <c r="N44" s="32">
        <v>44587</v>
      </c>
      <c r="O44" s="41"/>
      <c r="S44" s="26">
        <f t="shared" ca="1" si="0"/>
        <v>45985</v>
      </c>
      <c r="T44" s="19">
        <f t="shared" ca="1" si="1"/>
        <v>45985.990154513885</v>
      </c>
      <c r="U44" s="15">
        <f t="shared" ca="1" si="7"/>
        <v>3</v>
      </c>
      <c r="V44" s="20">
        <f t="shared" ca="1" si="2"/>
        <v>44587</v>
      </c>
      <c r="W44" s="20">
        <f t="shared" si="11"/>
        <v>44681</v>
      </c>
      <c r="Y44" s="15" t="str">
        <f t="shared" si="4"/>
        <v>SD</v>
      </c>
      <c r="Z44" s="15" t="str">
        <f t="shared" si="5"/>
        <v>SARAH DAVIS</v>
      </c>
      <c r="AA44" s="15" t="str">
        <f t="shared" si="6"/>
        <v>sarah davis</v>
      </c>
      <c r="AB44" s="40"/>
      <c r="AR44" s="15" t="str">
        <v>North</v>
      </c>
      <c r="AS44" s="15">
        <v>199.99</v>
      </c>
      <c r="AU44" s="15" t="str">
        <v>Carol Evans</v>
      </c>
      <c r="AW44" s="15">
        <f t="shared" si="10"/>
        <v>1149.93</v>
      </c>
      <c r="AX44" s="40"/>
    </row>
    <row r="45" spans="1:50" ht="16.5" customHeight="1" x14ac:dyDescent="0.35">
      <c r="A45" s="31" t="s">
        <v>156</v>
      </c>
      <c r="B45" s="22">
        <v>45449</v>
      </c>
      <c r="C45" s="22" t="s">
        <v>24</v>
      </c>
      <c r="D45" s="22" t="s">
        <v>25</v>
      </c>
      <c r="E45" s="22" t="s">
        <v>17</v>
      </c>
      <c r="F45" s="22" t="s">
        <v>18</v>
      </c>
      <c r="G45" s="22" t="s">
        <v>19</v>
      </c>
      <c r="H45" s="22">
        <v>5</v>
      </c>
      <c r="I45" s="22" t="s">
        <v>63</v>
      </c>
      <c r="J45" s="22">
        <v>249.99</v>
      </c>
      <c r="K45" s="22" t="s">
        <v>26</v>
      </c>
      <c r="L45" s="22" t="s">
        <v>36</v>
      </c>
      <c r="M45" s="22">
        <v>1249.95</v>
      </c>
      <c r="N45" s="32">
        <v>44707</v>
      </c>
      <c r="O45" s="41"/>
      <c r="S45" s="27">
        <f t="shared" ca="1" si="0"/>
        <v>45985</v>
      </c>
      <c r="T45" s="19">
        <f t="shared" ca="1" si="1"/>
        <v>45985.990154629631</v>
      </c>
      <c r="U45" s="15">
        <f t="shared" ca="1" si="7"/>
        <v>3</v>
      </c>
      <c r="V45" s="20">
        <f t="shared" ca="1" si="2"/>
        <v>44707</v>
      </c>
      <c r="W45" s="20">
        <f t="shared" si="11"/>
        <v>44804</v>
      </c>
      <c r="Y45" s="15" t="str">
        <f t="shared" si="4"/>
        <v>JJ</v>
      </c>
      <c r="Z45" s="15" t="str">
        <f t="shared" si="5"/>
        <v>JOSEPH JACKSON</v>
      </c>
      <c r="AA45" s="15" t="str">
        <f t="shared" si="6"/>
        <v>joseph jackson</v>
      </c>
      <c r="AB45" s="40"/>
      <c r="AR45" s="15" t="str">
        <v>South</v>
      </c>
      <c r="AS45" s="15">
        <v>249.99</v>
      </c>
      <c r="AU45" s="15" t="str">
        <v>Sandra Phillips</v>
      </c>
      <c r="AW45" s="15">
        <f t="shared" si="10"/>
        <v>6349.83</v>
      </c>
      <c r="AX45" s="40"/>
    </row>
    <row r="46" spans="1:50" ht="16.5" customHeight="1" x14ac:dyDescent="0.35">
      <c r="A46" s="31" t="s">
        <v>157</v>
      </c>
      <c r="B46" s="22">
        <v>45449</v>
      </c>
      <c r="C46" s="22" t="s">
        <v>158</v>
      </c>
      <c r="D46" s="22" t="s">
        <v>159</v>
      </c>
      <c r="E46" s="22" t="s">
        <v>117</v>
      </c>
      <c r="F46" s="22" t="s">
        <v>118</v>
      </c>
      <c r="G46" s="22" t="s">
        <v>19</v>
      </c>
      <c r="H46" s="22">
        <v>1</v>
      </c>
      <c r="I46" s="22" t="s">
        <v>35</v>
      </c>
      <c r="J46" s="22">
        <v>89.99</v>
      </c>
      <c r="K46" s="22" t="s">
        <v>26</v>
      </c>
      <c r="L46" s="22" t="s">
        <v>36</v>
      </c>
      <c r="M46" s="22">
        <v>89.99</v>
      </c>
      <c r="N46" s="32">
        <v>44582</v>
      </c>
      <c r="O46" s="41"/>
      <c r="S46" s="26">
        <f t="shared" ca="1" si="0"/>
        <v>45985</v>
      </c>
      <c r="T46" s="19">
        <f t="shared" ca="1" si="1"/>
        <v>45985.990154513885</v>
      </c>
      <c r="U46" s="15">
        <f t="shared" ca="1" si="7"/>
        <v>3</v>
      </c>
      <c r="V46" s="20">
        <f t="shared" ca="1" si="2"/>
        <v>44582</v>
      </c>
      <c r="W46" s="20">
        <f t="shared" si="11"/>
        <v>44681</v>
      </c>
      <c r="Y46" s="15" t="str">
        <f t="shared" si="4"/>
        <v>BC</v>
      </c>
      <c r="Z46" s="15" t="str">
        <f t="shared" si="5"/>
        <v>BETTY CAMPBELL</v>
      </c>
      <c r="AA46" s="15" t="str">
        <f t="shared" si="6"/>
        <v>betty campbell</v>
      </c>
      <c r="AB46" s="40"/>
      <c r="AR46" s="15" t="str">
        <v>North</v>
      </c>
      <c r="AS46" s="15">
        <v>699.99</v>
      </c>
      <c r="AU46" s="15" t="str">
        <v>Ruth Brooks</v>
      </c>
      <c r="AW46" s="15">
        <f t="shared" si="10"/>
        <v>1749.92</v>
      </c>
      <c r="AX46" s="40"/>
    </row>
    <row r="47" spans="1:50" ht="16.5" customHeight="1" x14ac:dyDescent="0.35">
      <c r="A47" s="31" t="s">
        <v>160</v>
      </c>
      <c r="B47" s="22">
        <v>45450</v>
      </c>
      <c r="C47" s="22" t="s">
        <v>42</v>
      </c>
      <c r="D47" s="22" t="s">
        <v>43</v>
      </c>
      <c r="E47" s="22" t="s">
        <v>44</v>
      </c>
      <c r="F47" s="22" t="s">
        <v>45</v>
      </c>
      <c r="G47" s="22" t="s">
        <v>46</v>
      </c>
      <c r="H47" s="22">
        <v>2</v>
      </c>
      <c r="I47" s="22" t="s">
        <v>63</v>
      </c>
      <c r="J47" s="22">
        <v>149.99</v>
      </c>
      <c r="K47" s="22" t="s">
        <v>20</v>
      </c>
      <c r="L47" s="22" t="s">
        <v>27</v>
      </c>
      <c r="M47" s="22">
        <v>299.98</v>
      </c>
      <c r="N47" s="32">
        <v>44645</v>
      </c>
      <c r="O47" s="41"/>
      <c r="S47" s="27">
        <f t="shared" ca="1" si="0"/>
        <v>45985</v>
      </c>
      <c r="T47" s="19">
        <f t="shared" ca="1" si="1"/>
        <v>45985.990154629631</v>
      </c>
      <c r="U47" s="15">
        <f t="shared" ca="1" si="7"/>
        <v>3</v>
      </c>
      <c r="V47" s="20">
        <f t="shared" ca="1" si="2"/>
        <v>44645</v>
      </c>
      <c r="W47" s="20">
        <f t="shared" si="11"/>
        <v>44742</v>
      </c>
      <c r="Y47" s="15" t="str">
        <f t="shared" si="4"/>
        <v>MB</v>
      </c>
      <c r="Z47" s="15" t="str">
        <f t="shared" si="5"/>
        <v>MICHAEL BROWN</v>
      </c>
      <c r="AA47" s="15" t="str">
        <f t="shared" si="6"/>
        <v>michael brown</v>
      </c>
      <c r="AB47" s="40"/>
      <c r="AR47" s="15" t="str">
        <v>North</v>
      </c>
      <c r="AS47" s="15">
        <v>249.99</v>
      </c>
      <c r="AU47" s="15" t="str">
        <v>William White</v>
      </c>
      <c r="AW47" s="15">
        <f t="shared" si="10"/>
        <v>4749.91</v>
      </c>
      <c r="AX47" s="40"/>
    </row>
    <row r="48" spans="1:50" ht="16.5" customHeight="1" x14ac:dyDescent="0.35">
      <c r="A48" s="31" t="s">
        <v>161</v>
      </c>
      <c r="B48" s="22">
        <v>45452</v>
      </c>
      <c r="C48" s="22" t="s">
        <v>162</v>
      </c>
      <c r="D48" s="22" t="s">
        <v>163</v>
      </c>
      <c r="E48" s="22" t="s">
        <v>31</v>
      </c>
      <c r="F48" s="22" t="s">
        <v>32</v>
      </c>
      <c r="G48" s="22" t="s">
        <v>33</v>
      </c>
      <c r="H48" s="22">
        <v>4</v>
      </c>
      <c r="I48" s="22" t="s">
        <v>63</v>
      </c>
      <c r="J48" s="22">
        <v>59.99</v>
      </c>
      <c r="K48" s="22" t="s">
        <v>20</v>
      </c>
      <c r="L48" s="22" t="s">
        <v>36</v>
      </c>
      <c r="M48" s="22">
        <v>239.96</v>
      </c>
      <c r="N48" s="32">
        <v>44435</v>
      </c>
      <c r="O48" s="41"/>
      <c r="S48" s="26">
        <f t="shared" ca="1" si="0"/>
        <v>45985</v>
      </c>
      <c r="T48" s="19">
        <f t="shared" ca="1" si="1"/>
        <v>45985.990154513885</v>
      </c>
      <c r="U48" s="15">
        <f t="shared" ca="1" si="7"/>
        <v>4</v>
      </c>
      <c r="V48" s="20">
        <f t="shared" ca="1" si="2"/>
        <v>44435</v>
      </c>
      <c r="W48" s="20">
        <f t="shared" si="11"/>
        <v>44530</v>
      </c>
      <c r="Y48" s="15" t="str">
        <f t="shared" si="4"/>
        <v>JF</v>
      </c>
      <c r="Z48" s="15" t="str">
        <f t="shared" si="5"/>
        <v>JULIE FOSTER</v>
      </c>
      <c r="AA48" s="15" t="str">
        <f t="shared" si="6"/>
        <v>julie foster</v>
      </c>
      <c r="AB48" s="40"/>
      <c r="AR48" s="15" t="str">
        <v>North</v>
      </c>
      <c r="AS48" s="15">
        <v>79.989999999999995</v>
      </c>
      <c r="AU48" s="15" t="str">
        <v>Richard Lee</v>
      </c>
      <c r="AW48" s="15">
        <f t="shared" si="10"/>
        <v>739.93000000000006</v>
      </c>
      <c r="AX48" s="40"/>
    </row>
    <row r="49" spans="1:50" ht="16.5" customHeight="1" x14ac:dyDescent="0.35">
      <c r="A49" s="31" t="s">
        <v>164</v>
      </c>
      <c r="B49" s="22">
        <v>45456</v>
      </c>
      <c r="C49" s="22" t="s">
        <v>129</v>
      </c>
      <c r="D49" s="22" t="s">
        <v>130</v>
      </c>
      <c r="E49" s="22" t="s">
        <v>117</v>
      </c>
      <c r="F49" s="22" t="s">
        <v>118</v>
      </c>
      <c r="G49" s="22" t="s">
        <v>19</v>
      </c>
      <c r="H49" s="22">
        <v>5</v>
      </c>
      <c r="I49" s="22" t="s">
        <v>21</v>
      </c>
      <c r="J49" s="22">
        <v>89.99</v>
      </c>
      <c r="K49" s="22" t="s">
        <v>20</v>
      </c>
      <c r="L49" s="22" t="s">
        <v>27</v>
      </c>
      <c r="M49" s="22">
        <v>449.95</v>
      </c>
      <c r="N49" s="32">
        <v>44579</v>
      </c>
      <c r="O49" s="41"/>
      <c r="S49" s="27">
        <f t="shared" ca="1" si="0"/>
        <v>45985</v>
      </c>
      <c r="T49" s="19">
        <f t="shared" ca="1" si="1"/>
        <v>45985.990154629631</v>
      </c>
      <c r="U49" s="15">
        <f t="shared" ca="1" si="7"/>
        <v>3</v>
      </c>
      <c r="V49" s="20">
        <f t="shared" ca="1" si="2"/>
        <v>44579</v>
      </c>
      <c r="W49" s="20">
        <f t="shared" si="11"/>
        <v>44681</v>
      </c>
      <c r="Y49" s="15" t="str">
        <f t="shared" si="4"/>
        <v>LA</v>
      </c>
      <c r="Z49" s="15" t="str">
        <f t="shared" si="5"/>
        <v>LISA ANDERSON</v>
      </c>
      <c r="AA49" s="15" t="str">
        <f t="shared" si="6"/>
        <v>lisa anderson</v>
      </c>
      <c r="AB49" s="40"/>
      <c r="AR49" s="15" t="str">
        <v>South</v>
      </c>
      <c r="AS49" s="15">
        <v>89.99</v>
      </c>
      <c r="AU49" s="15" t="str">
        <v>Douglas Watson</v>
      </c>
      <c r="AW49" s="15">
        <f t="shared" si="10"/>
        <v>4829.8899999999994</v>
      </c>
      <c r="AX49" s="40"/>
    </row>
    <row r="50" spans="1:50" ht="16.5" customHeight="1" x14ac:dyDescent="0.35">
      <c r="A50" s="31" t="s">
        <v>165</v>
      </c>
      <c r="B50" s="22">
        <v>45459</v>
      </c>
      <c r="C50" s="22" t="s">
        <v>99</v>
      </c>
      <c r="D50" s="22" t="s">
        <v>100</v>
      </c>
      <c r="E50" s="22" t="s">
        <v>117</v>
      </c>
      <c r="F50" s="22" t="s">
        <v>118</v>
      </c>
      <c r="G50" s="22" t="s">
        <v>19</v>
      </c>
      <c r="H50" s="22">
        <v>2</v>
      </c>
      <c r="I50" s="22" t="s">
        <v>35</v>
      </c>
      <c r="J50" s="22">
        <v>89.99</v>
      </c>
      <c r="K50" s="22" t="s">
        <v>26</v>
      </c>
      <c r="L50" s="22" t="s">
        <v>27</v>
      </c>
      <c r="M50" s="22">
        <v>179.98</v>
      </c>
      <c r="N50" s="32">
        <v>44471</v>
      </c>
      <c r="O50" s="41"/>
      <c r="S50" s="26">
        <f t="shared" ca="1" si="0"/>
        <v>45985</v>
      </c>
      <c r="T50" s="19">
        <f t="shared" ca="1" si="1"/>
        <v>45985.990154513885</v>
      </c>
      <c r="U50" s="15">
        <f t="shared" ca="1" si="7"/>
        <v>4</v>
      </c>
      <c r="V50" s="20">
        <f t="shared" ca="1" si="2"/>
        <v>44471</v>
      </c>
      <c r="W50" s="20">
        <f t="shared" si="11"/>
        <v>44592</v>
      </c>
      <c r="Y50" s="15" t="str">
        <f t="shared" si="4"/>
        <v>PM</v>
      </c>
      <c r="Z50" s="15" t="str">
        <f t="shared" si="5"/>
        <v>PATRICIA MOORE</v>
      </c>
      <c r="AA50" s="15" t="str">
        <f t="shared" si="6"/>
        <v>patricia moore</v>
      </c>
      <c r="AB50" s="40"/>
      <c r="AR50" s="15" t="str">
        <v>North</v>
      </c>
      <c r="AS50" s="15">
        <v>149.99</v>
      </c>
      <c r="AU50" s="15" t="str">
        <v>James Johnson</v>
      </c>
      <c r="AW50" s="15">
        <f t="shared" si="10"/>
        <v>179.97</v>
      </c>
      <c r="AX50" s="40"/>
    </row>
    <row r="51" spans="1:50" ht="16.5" customHeight="1" x14ac:dyDescent="0.35">
      <c r="A51" s="31" t="s">
        <v>166</v>
      </c>
      <c r="B51" s="22">
        <v>45459</v>
      </c>
      <c r="C51" s="22" t="s">
        <v>15</v>
      </c>
      <c r="D51" s="22" t="s">
        <v>16</v>
      </c>
      <c r="E51" s="22" t="s">
        <v>61</v>
      </c>
      <c r="F51" s="22" t="s">
        <v>62</v>
      </c>
      <c r="G51" s="22" t="s">
        <v>19</v>
      </c>
      <c r="H51" s="22">
        <v>5</v>
      </c>
      <c r="I51" s="22" t="s">
        <v>35</v>
      </c>
      <c r="J51" s="22">
        <v>899.99</v>
      </c>
      <c r="K51" s="22" t="s">
        <v>26</v>
      </c>
      <c r="L51" s="22" t="s">
        <v>36</v>
      </c>
      <c r="M51" s="22">
        <v>4499.95</v>
      </c>
      <c r="N51" s="32">
        <v>44974</v>
      </c>
      <c r="O51" s="41"/>
      <c r="S51" s="27">
        <f t="shared" ca="1" si="0"/>
        <v>45985</v>
      </c>
      <c r="T51" s="19">
        <f t="shared" ca="1" si="1"/>
        <v>45985.990154629631</v>
      </c>
      <c r="U51" s="15">
        <f t="shared" ca="1" si="7"/>
        <v>2</v>
      </c>
      <c r="V51" s="20">
        <f t="shared" ca="1" si="2"/>
        <v>44974</v>
      </c>
      <c r="W51" s="20">
        <f t="shared" si="11"/>
        <v>45077</v>
      </c>
      <c r="Y51" s="15" t="str">
        <f t="shared" si="4"/>
        <v>PB</v>
      </c>
      <c r="Z51" s="15" t="str">
        <f t="shared" si="5"/>
        <v>PAUL BAKER</v>
      </c>
      <c r="AA51" s="15" t="str">
        <f t="shared" si="6"/>
        <v>paul baker</v>
      </c>
      <c r="AB51" s="40"/>
      <c r="AR51" s="15" t="str">
        <v>South</v>
      </c>
      <c r="AS51" s="15">
        <v>249.99</v>
      </c>
      <c r="AU51" s="15" t="str">
        <v>Arthur Edwards</v>
      </c>
      <c r="AW51" s="15">
        <f t="shared" si="10"/>
        <v>1559.94</v>
      </c>
      <c r="AX51" s="40"/>
    </row>
    <row r="52" spans="1:50" ht="16.5" customHeight="1" x14ac:dyDescent="0.35">
      <c r="A52" s="31" t="s">
        <v>167</v>
      </c>
      <c r="B52" s="22">
        <v>45459</v>
      </c>
      <c r="C52" s="22" t="s">
        <v>123</v>
      </c>
      <c r="D52" s="22" t="s">
        <v>124</v>
      </c>
      <c r="E52" s="22" t="s">
        <v>61</v>
      </c>
      <c r="F52" s="22" t="s">
        <v>62</v>
      </c>
      <c r="G52" s="22" t="s">
        <v>19</v>
      </c>
      <c r="H52" s="22">
        <v>5</v>
      </c>
      <c r="I52" s="22" t="s">
        <v>63</v>
      </c>
      <c r="J52" s="22">
        <v>899.99</v>
      </c>
      <c r="K52" s="22" t="s">
        <v>34</v>
      </c>
      <c r="L52" s="22" t="s">
        <v>27</v>
      </c>
      <c r="M52" s="22">
        <v>4499.95</v>
      </c>
      <c r="N52" s="32">
        <v>45278</v>
      </c>
      <c r="O52" s="41"/>
      <c r="S52" s="26">
        <f t="shared" ca="1" si="0"/>
        <v>45985</v>
      </c>
      <c r="T52" s="19">
        <f t="shared" ca="1" si="1"/>
        <v>45985.990154513885</v>
      </c>
      <c r="U52" s="15">
        <f t="shared" ca="1" si="7"/>
        <v>1</v>
      </c>
      <c r="V52" s="20">
        <f t="shared" ca="1" si="2"/>
        <v>45278</v>
      </c>
      <c r="W52" s="20">
        <f t="shared" si="11"/>
        <v>45382</v>
      </c>
      <c r="Y52" s="15" t="str">
        <f t="shared" si="4"/>
        <v>EM</v>
      </c>
      <c r="Z52" s="15" t="str">
        <f t="shared" si="5"/>
        <v>EDWARD MITCHELL</v>
      </c>
      <c r="AA52" s="15" t="str">
        <f t="shared" si="6"/>
        <v>edward mitchell</v>
      </c>
      <c r="AB52" s="40"/>
      <c r="AR52" s="15" t="str">
        <v>South</v>
      </c>
      <c r="AS52" s="15">
        <v>699.99</v>
      </c>
      <c r="AU52" s="15" t="str">
        <v>John Smith</v>
      </c>
      <c r="AW52" s="15">
        <f t="shared" si="10"/>
        <v>599.96</v>
      </c>
      <c r="AX52" s="40"/>
    </row>
    <row r="53" spans="1:50" ht="16.5" customHeight="1" x14ac:dyDescent="0.35">
      <c r="A53" s="31" t="s">
        <v>168</v>
      </c>
      <c r="B53" s="22">
        <v>45460</v>
      </c>
      <c r="C53" s="22" t="s">
        <v>158</v>
      </c>
      <c r="D53" s="22" t="s">
        <v>159</v>
      </c>
      <c r="E53" s="22" t="s">
        <v>31</v>
      </c>
      <c r="F53" s="22" t="s">
        <v>32</v>
      </c>
      <c r="G53" s="22" t="s">
        <v>33</v>
      </c>
      <c r="H53" s="22">
        <v>1</v>
      </c>
      <c r="I53" s="22" t="s">
        <v>50</v>
      </c>
      <c r="J53" s="22">
        <v>59.99</v>
      </c>
      <c r="K53" s="22" t="s">
        <v>57</v>
      </c>
      <c r="L53" s="22" t="s">
        <v>27</v>
      </c>
      <c r="M53" s="22">
        <v>59.99</v>
      </c>
      <c r="N53" s="32">
        <v>45190</v>
      </c>
      <c r="O53" s="41"/>
      <c r="S53" s="27">
        <f t="shared" ca="1" si="0"/>
        <v>45985</v>
      </c>
      <c r="T53" s="19">
        <f t="shared" ca="1" si="1"/>
        <v>45985.990154629631</v>
      </c>
      <c r="U53" s="15">
        <f t="shared" ca="1" si="7"/>
        <v>2</v>
      </c>
      <c r="V53" s="20">
        <f t="shared" ca="1" si="2"/>
        <v>45190</v>
      </c>
      <c r="W53" s="20">
        <f t="shared" si="11"/>
        <v>45291</v>
      </c>
      <c r="Y53" s="15" t="str">
        <f t="shared" si="4"/>
        <v>BC</v>
      </c>
      <c r="Z53" s="15" t="str">
        <f t="shared" si="5"/>
        <v>BETTY CAMPBELL</v>
      </c>
      <c r="AA53" s="15" t="str">
        <f t="shared" si="6"/>
        <v>betty campbell</v>
      </c>
      <c r="AB53" s="40"/>
      <c r="AR53" s="15" t="str">
        <v>North</v>
      </c>
      <c r="AS53" s="15">
        <v>899.99</v>
      </c>
    </row>
    <row r="54" spans="1:50" ht="16.5" customHeight="1" x14ac:dyDescent="0.35">
      <c r="A54" s="31" t="s">
        <v>169</v>
      </c>
      <c r="B54" s="22">
        <v>45460</v>
      </c>
      <c r="C54" s="22" t="s">
        <v>141</v>
      </c>
      <c r="D54" s="22" t="s">
        <v>142</v>
      </c>
      <c r="E54" s="22" t="s">
        <v>105</v>
      </c>
      <c r="F54" s="22" t="s">
        <v>106</v>
      </c>
      <c r="G54" s="22" t="s">
        <v>46</v>
      </c>
      <c r="H54" s="22">
        <v>2</v>
      </c>
      <c r="I54" s="22" t="s">
        <v>63</v>
      </c>
      <c r="J54" s="22">
        <v>299.99</v>
      </c>
      <c r="K54" s="22" t="s">
        <v>57</v>
      </c>
      <c r="L54" s="22" t="s">
        <v>36</v>
      </c>
      <c r="M54" s="22">
        <v>599.98</v>
      </c>
      <c r="N54" s="32">
        <v>45253</v>
      </c>
      <c r="O54" s="41"/>
      <c r="S54" s="26">
        <f t="shared" ca="1" si="0"/>
        <v>45985</v>
      </c>
      <c r="T54" s="19">
        <f t="shared" ca="1" si="1"/>
        <v>45985.990154513885</v>
      </c>
      <c r="U54" s="15">
        <f t="shared" ca="1" si="7"/>
        <v>2</v>
      </c>
      <c r="V54" s="20">
        <f t="shared" ca="1" si="2"/>
        <v>45253</v>
      </c>
      <c r="W54" s="20">
        <f t="shared" si="11"/>
        <v>45351</v>
      </c>
      <c r="Y54" s="15" t="str">
        <f t="shared" si="4"/>
        <v>JT</v>
      </c>
      <c r="Z54" s="15" t="str">
        <f t="shared" si="5"/>
        <v>JENNIFER TAYLOR</v>
      </c>
      <c r="AA54" s="15" t="str">
        <f t="shared" si="6"/>
        <v>jennifer taylor</v>
      </c>
      <c r="AB54" s="40"/>
      <c r="AR54" s="15" t="str">
        <v>North</v>
      </c>
      <c r="AS54" s="15">
        <v>149.99</v>
      </c>
    </row>
    <row r="55" spans="1:50" ht="16.5" customHeight="1" x14ac:dyDescent="0.35">
      <c r="A55" s="31" t="s">
        <v>170</v>
      </c>
      <c r="B55" s="22">
        <v>45468</v>
      </c>
      <c r="C55" s="22" t="s">
        <v>171</v>
      </c>
      <c r="D55" s="22" t="s">
        <v>172</v>
      </c>
      <c r="E55" s="22" t="s">
        <v>117</v>
      </c>
      <c r="F55" s="22" t="s">
        <v>118</v>
      </c>
      <c r="G55" s="22" t="s">
        <v>19</v>
      </c>
      <c r="H55" s="22">
        <v>4</v>
      </c>
      <c r="I55" s="22" t="s">
        <v>35</v>
      </c>
      <c r="J55" s="22">
        <v>89.99</v>
      </c>
      <c r="K55" s="22" t="s">
        <v>57</v>
      </c>
      <c r="L55" s="22" t="s">
        <v>22</v>
      </c>
      <c r="M55" s="22">
        <v>359.96</v>
      </c>
      <c r="N55" s="32">
        <v>45281</v>
      </c>
      <c r="O55" s="41"/>
      <c r="S55" s="27">
        <f t="shared" ca="1" si="0"/>
        <v>45985</v>
      </c>
      <c r="T55" s="19">
        <f t="shared" ca="1" si="1"/>
        <v>45985.990154629631</v>
      </c>
      <c r="U55" s="15">
        <f t="shared" ca="1" si="7"/>
        <v>1</v>
      </c>
      <c r="V55" s="20">
        <f t="shared" ca="1" si="2"/>
        <v>45281</v>
      </c>
      <c r="W55" s="20">
        <f t="shared" si="11"/>
        <v>45382</v>
      </c>
      <c r="Y55" s="15" t="str">
        <f t="shared" si="4"/>
        <v>RR</v>
      </c>
      <c r="Z55" s="15" t="str">
        <f t="shared" si="5"/>
        <v>RAYMOND ROSS</v>
      </c>
      <c r="AA55" s="15" t="str">
        <f t="shared" si="6"/>
        <v>raymond ross</v>
      </c>
      <c r="AB55" s="40"/>
      <c r="AR55" s="15" t="str">
        <v>South</v>
      </c>
      <c r="AS55" s="15">
        <v>149.99</v>
      </c>
    </row>
    <row r="56" spans="1:50" ht="16.5" customHeight="1" x14ac:dyDescent="0.35">
      <c r="A56" s="31" t="s">
        <v>173</v>
      </c>
      <c r="B56" s="22">
        <v>45469</v>
      </c>
      <c r="C56" s="22" t="s">
        <v>29</v>
      </c>
      <c r="D56" s="22" t="s">
        <v>30</v>
      </c>
      <c r="E56" s="22" t="s">
        <v>114</v>
      </c>
      <c r="F56" s="22" t="s">
        <v>115</v>
      </c>
      <c r="G56" s="22" t="s">
        <v>33</v>
      </c>
      <c r="H56" s="22">
        <v>1</v>
      </c>
      <c r="I56" s="22" t="s">
        <v>21</v>
      </c>
      <c r="J56" s="22">
        <v>79.989999999999995</v>
      </c>
      <c r="K56" s="22" t="s">
        <v>34</v>
      </c>
      <c r="L56" s="22" t="s">
        <v>27</v>
      </c>
      <c r="M56" s="22">
        <v>79.989999999999995</v>
      </c>
      <c r="N56" s="32">
        <v>45352</v>
      </c>
      <c r="O56" s="41"/>
      <c r="S56" s="26">
        <f t="shared" ca="1" si="0"/>
        <v>45985</v>
      </c>
      <c r="T56" s="19">
        <f t="shared" ca="1" si="1"/>
        <v>45985.990154513885</v>
      </c>
      <c r="U56" s="15">
        <f t="shared" ca="1" si="7"/>
        <v>1</v>
      </c>
      <c r="V56" s="20">
        <f t="shared" ca="1" si="2"/>
        <v>45352</v>
      </c>
      <c r="W56" s="20">
        <f t="shared" si="11"/>
        <v>45473</v>
      </c>
      <c r="Y56" s="15" t="str">
        <f t="shared" si="4"/>
        <v>KS</v>
      </c>
      <c r="Z56" s="15" t="str">
        <f t="shared" si="5"/>
        <v>KEVIN SCOTT</v>
      </c>
      <c r="AA56" s="15" t="str">
        <f t="shared" si="6"/>
        <v>kevin scott</v>
      </c>
      <c r="AB56" s="40"/>
      <c r="AR56" s="15" t="str">
        <v>North</v>
      </c>
      <c r="AS56" s="15">
        <v>699.99</v>
      </c>
    </row>
    <row r="57" spans="1:50" ht="16.5" customHeight="1" x14ac:dyDescent="0.35">
      <c r="A57" s="31" t="s">
        <v>174</v>
      </c>
      <c r="B57" s="22">
        <v>45469</v>
      </c>
      <c r="C57" s="22" t="s">
        <v>59</v>
      </c>
      <c r="D57" s="22" t="s">
        <v>60</v>
      </c>
      <c r="E57" s="22" t="s">
        <v>117</v>
      </c>
      <c r="F57" s="22" t="s">
        <v>118</v>
      </c>
      <c r="G57" s="22" t="s">
        <v>19</v>
      </c>
      <c r="H57" s="22">
        <v>2</v>
      </c>
      <c r="I57" s="22" t="s">
        <v>50</v>
      </c>
      <c r="J57" s="22">
        <v>89.99</v>
      </c>
      <c r="K57" s="22" t="s">
        <v>20</v>
      </c>
      <c r="L57" s="22" t="s">
        <v>22</v>
      </c>
      <c r="M57" s="22">
        <v>179.98</v>
      </c>
      <c r="N57" s="32">
        <v>44438</v>
      </c>
      <c r="O57" s="41"/>
      <c r="S57" s="27">
        <f t="shared" ca="1" si="0"/>
        <v>45985</v>
      </c>
      <c r="T57" s="19">
        <f t="shared" ca="1" si="1"/>
        <v>45985.990154629631</v>
      </c>
      <c r="U57" s="15">
        <f t="shared" ca="1" si="7"/>
        <v>4</v>
      </c>
      <c r="V57" s="20">
        <f t="shared" ca="1" si="2"/>
        <v>44438</v>
      </c>
      <c r="W57" s="20">
        <f t="shared" si="11"/>
        <v>44530</v>
      </c>
      <c r="Y57" s="15" t="str">
        <f t="shared" si="4"/>
        <v>RT</v>
      </c>
      <c r="Z57" s="15" t="str">
        <f t="shared" si="5"/>
        <v>ROBERT THOMAS</v>
      </c>
      <c r="AA57" s="15" t="str">
        <f t="shared" si="6"/>
        <v>robert thomas</v>
      </c>
      <c r="AB57" s="40"/>
      <c r="AR57" s="15" t="str">
        <v>North</v>
      </c>
      <c r="AS57" s="15">
        <v>89.99</v>
      </c>
    </row>
    <row r="58" spans="1:50" ht="16.5" customHeight="1" x14ac:dyDescent="0.35">
      <c r="A58" s="31" t="s">
        <v>175</v>
      </c>
      <c r="B58" s="22">
        <v>45471</v>
      </c>
      <c r="C58" s="22" t="s">
        <v>38</v>
      </c>
      <c r="D58" s="22" t="s">
        <v>39</v>
      </c>
      <c r="E58" s="22" t="s">
        <v>80</v>
      </c>
      <c r="F58" s="22" t="s">
        <v>81</v>
      </c>
      <c r="G58" s="22" t="s">
        <v>19</v>
      </c>
      <c r="H58" s="22">
        <v>3</v>
      </c>
      <c r="I58" s="22" t="s">
        <v>63</v>
      </c>
      <c r="J58" s="22">
        <v>699.99</v>
      </c>
      <c r="K58" s="22" t="s">
        <v>26</v>
      </c>
      <c r="L58" s="22" t="s">
        <v>27</v>
      </c>
      <c r="M58" s="22">
        <v>2099.9699999999998</v>
      </c>
      <c r="N58" s="32">
        <v>45102</v>
      </c>
      <c r="O58" s="41"/>
      <c r="S58" s="26">
        <f t="shared" ca="1" si="0"/>
        <v>45985</v>
      </c>
      <c r="T58" s="19">
        <f t="shared" ca="1" si="1"/>
        <v>45985.990154513885</v>
      </c>
      <c r="U58" s="15">
        <f t="shared" ca="1" si="7"/>
        <v>2</v>
      </c>
      <c r="V58" s="20">
        <f t="shared" ca="1" si="2"/>
        <v>45102</v>
      </c>
      <c r="W58" s="20">
        <f t="shared" si="11"/>
        <v>45199</v>
      </c>
      <c r="Y58" s="15" t="str">
        <f t="shared" si="4"/>
        <v>KB</v>
      </c>
      <c r="Z58" s="15" t="str">
        <f t="shared" si="5"/>
        <v>KATHLEEN BENNETT</v>
      </c>
      <c r="AA58" s="15" t="str">
        <f t="shared" si="6"/>
        <v>kathleen bennett</v>
      </c>
      <c r="AB58" s="40"/>
      <c r="AR58" s="15" t="str">
        <v>South</v>
      </c>
      <c r="AS58" s="15">
        <v>249.99</v>
      </c>
    </row>
    <row r="59" spans="1:50" ht="16.5" customHeight="1" x14ac:dyDescent="0.35">
      <c r="A59" s="31" t="s">
        <v>176</v>
      </c>
      <c r="B59" s="22">
        <v>45471</v>
      </c>
      <c r="C59" s="22" t="s">
        <v>99</v>
      </c>
      <c r="D59" s="22" t="s">
        <v>100</v>
      </c>
      <c r="E59" s="22" t="s">
        <v>61</v>
      </c>
      <c r="F59" s="22" t="s">
        <v>62</v>
      </c>
      <c r="G59" s="22" t="s">
        <v>19</v>
      </c>
      <c r="H59" s="22">
        <v>4</v>
      </c>
      <c r="I59" s="22" t="s">
        <v>63</v>
      </c>
      <c r="J59" s="22">
        <v>899.99</v>
      </c>
      <c r="K59" s="22" t="s">
        <v>26</v>
      </c>
      <c r="L59" s="22" t="s">
        <v>27</v>
      </c>
      <c r="M59" s="22">
        <v>3599.96</v>
      </c>
      <c r="N59" s="32">
        <v>44993</v>
      </c>
      <c r="O59" s="41"/>
      <c r="S59" s="27">
        <f t="shared" ca="1" si="0"/>
        <v>45985</v>
      </c>
      <c r="T59" s="19">
        <f t="shared" ca="1" si="1"/>
        <v>45985.990154629631</v>
      </c>
      <c r="U59" s="15">
        <f t="shared" ca="1" si="7"/>
        <v>2</v>
      </c>
      <c r="V59" s="20">
        <f t="shared" ca="1" si="2"/>
        <v>44993</v>
      </c>
      <c r="W59" s="20">
        <f t="shared" si="11"/>
        <v>45107</v>
      </c>
      <c r="Y59" s="15" t="str">
        <f t="shared" si="4"/>
        <v>PM</v>
      </c>
      <c r="Z59" s="15" t="str">
        <f t="shared" si="5"/>
        <v>PATRICIA MOORE</v>
      </c>
      <c r="AA59" s="15" t="str">
        <f t="shared" si="6"/>
        <v>patricia moore</v>
      </c>
      <c r="AB59" s="40"/>
      <c r="AR59" s="15" t="str">
        <v>South</v>
      </c>
      <c r="AS59" s="15">
        <v>299.99</v>
      </c>
    </row>
    <row r="60" spans="1:50" ht="16.5" customHeight="1" x14ac:dyDescent="0.35">
      <c r="A60" s="31" t="s">
        <v>177</v>
      </c>
      <c r="B60" s="22">
        <v>45472</v>
      </c>
      <c r="C60" s="22" t="s">
        <v>120</v>
      </c>
      <c r="D60" s="22" t="s">
        <v>121</v>
      </c>
      <c r="E60" s="22" t="s">
        <v>44</v>
      </c>
      <c r="F60" s="22" t="s">
        <v>45</v>
      </c>
      <c r="G60" s="22" t="s">
        <v>46</v>
      </c>
      <c r="H60" s="22">
        <v>1</v>
      </c>
      <c r="I60" s="22" t="s">
        <v>63</v>
      </c>
      <c r="J60" s="22">
        <v>149.99</v>
      </c>
      <c r="K60" s="22" t="s">
        <v>34</v>
      </c>
      <c r="L60" s="22" t="s">
        <v>22</v>
      </c>
      <c r="M60" s="22">
        <v>149.99</v>
      </c>
      <c r="N60" s="32">
        <v>44851</v>
      </c>
      <c r="O60" s="41"/>
      <c r="S60" s="26">
        <f t="shared" ca="1" si="0"/>
        <v>45985</v>
      </c>
      <c r="T60" s="19">
        <f t="shared" ca="1" si="1"/>
        <v>45985.990154513885</v>
      </c>
      <c r="U60" s="15">
        <f t="shared" ca="1" si="7"/>
        <v>3</v>
      </c>
      <c r="V60" s="20">
        <f t="shared" ca="1" si="2"/>
        <v>44851</v>
      </c>
      <c r="W60" s="20">
        <f t="shared" si="11"/>
        <v>44957</v>
      </c>
      <c r="Y60" s="15" t="str">
        <f t="shared" si="4"/>
        <v>HR</v>
      </c>
      <c r="Z60" s="15" t="str">
        <f t="shared" si="5"/>
        <v>HELEN ROBERTS</v>
      </c>
      <c r="AA60" s="15" t="str">
        <f t="shared" si="6"/>
        <v>helen roberts</v>
      </c>
      <c r="AB60" s="40"/>
      <c r="AR60" s="15" t="str">
        <v>North</v>
      </c>
      <c r="AS60" s="15">
        <v>89.99</v>
      </c>
    </row>
    <row r="61" spans="1:50" ht="16.5" customHeight="1" x14ac:dyDescent="0.35">
      <c r="A61" s="31" t="s">
        <v>178</v>
      </c>
      <c r="B61" s="22">
        <v>45474</v>
      </c>
      <c r="C61" s="22" t="s">
        <v>132</v>
      </c>
      <c r="D61" s="22" t="s">
        <v>133</v>
      </c>
      <c r="E61" s="22" t="s">
        <v>117</v>
      </c>
      <c r="F61" s="22" t="s">
        <v>118</v>
      </c>
      <c r="G61" s="22" t="s">
        <v>19</v>
      </c>
      <c r="H61" s="22">
        <v>2</v>
      </c>
      <c r="I61" s="22" t="s">
        <v>21</v>
      </c>
      <c r="J61" s="22">
        <v>89.99</v>
      </c>
      <c r="K61" s="22" t="s">
        <v>34</v>
      </c>
      <c r="L61" s="22" t="s">
        <v>27</v>
      </c>
      <c r="M61" s="22">
        <v>179.98</v>
      </c>
      <c r="N61" s="32">
        <v>45275</v>
      </c>
      <c r="O61" s="41"/>
      <c r="S61" s="27">
        <f t="shared" ca="1" si="0"/>
        <v>45985</v>
      </c>
      <c r="T61" s="19">
        <f t="shared" ca="1" si="1"/>
        <v>45985.990154629631</v>
      </c>
      <c r="U61" s="15">
        <f t="shared" ca="1" si="7"/>
        <v>1</v>
      </c>
      <c r="V61" s="20">
        <f t="shared" ca="1" si="2"/>
        <v>45275</v>
      </c>
      <c r="W61" s="20">
        <f t="shared" si="11"/>
        <v>45382</v>
      </c>
      <c r="Y61" s="15" t="str">
        <f t="shared" si="4"/>
        <v>EW</v>
      </c>
      <c r="Z61" s="15" t="str">
        <f t="shared" si="5"/>
        <v>EMMA WILSON</v>
      </c>
      <c r="AA61" s="15" t="str">
        <f t="shared" si="6"/>
        <v>emma wilson</v>
      </c>
      <c r="AB61" s="40"/>
      <c r="AR61" s="15" t="str">
        <v>North</v>
      </c>
      <c r="AS61" s="15">
        <v>249.99</v>
      </c>
    </row>
    <row r="62" spans="1:50" ht="16.5" customHeight="1" x14ac:dyDescent="0.35">
      <c r="A62" s="31" t="s">
        <v>179</v>
      </c>
      <c r="B62" s="22">
        <v>45475</v>
      </c>
      <c r="C62" s="22" t="s">
        <v>55</v>
      </c>
      <c r="D62" s="22" t="s">
        <v>56</v>
      </c>
      <c r="E62" s="22" t="s">
        <v>117</v>
      </c>
      <c r="F62" s="22" t="s">
        <v>118</v>
      </c>
      <c r="G62" s="22" t="s">
        <v>19</v>
      </c>
      <c r="H62" s="22">
        <v>1</v>
      </c>
      <c r="I62" s="22" t="s">
        <v>50</v>
      </c>
      <c r="J62" s="22">
        <v>89.99</v>
      </c>
      <c r="K62" s="22" t="s">
        <v>34</v>
      </c>
      <c r="L62" s="22" t="s">
        <v>36</v>
      </c>
      <c r="M62" s="22">
        <v>89.99</v>
      </c>
      <c r="N62" s="32">
        <v>44802</v>
      </c>
      <c r="O62" s="41"/>
      <c r="S62" s="26">
        <f t="shared" ca="1" si="0"/>
        <v>45985</v>
      </c>
      <c r="T62" s="19">
        <f t="shared" ca="1" si="1"/>
        <v>45985.990154513885</v>
      </c>
      <c r="U62" s="15">
        <f t="shared" ca="1" si="7"/>
        <v>3</v>
      </c>
      <c r="V62" s="20">
        <f t="shared" ca="1" si="2"/>
        <v>44802</v>
      </c>
      <c r="W62" s="20">
        <f t="shared" si="11"/>
        <v>44895</v>
      </c>
      <c r="Y62" s="15" t="str">
        <f t="shared" si="4"/>
        <v>CA</v>
      </c>
      <c r="Z62" s="15" t="str">
        <f t="shared" si="5"/>
        <v>CHARLES ALLEN</v>
      </c>
      <c r="AA62" s="15" t="str">
        <f t="shared" si="6"/>
        <v>charles allen</v>
      </c>
      <c r="AB62" s="40"/>
      <c r="AR62" s="15" t="str">
        <v>North</v>
      </c>
      <c r="AS62" s="15">
        <v>149.99</v>
      </c>
    </row>
    <row r="63" spans="1:50" ht="16.5" customHeight="1" x14ac:dyDescent="0.35">
      <c r="A63" s="31" t="s">
        <v>180</v>
      </c>
      <c r="B63" s="22">
        <v>45476</v>
      </c>
      <c r="C63" s="22" t="s">
        <v>68</v>
      </c>
      <c r="D63" s="22" t="s">
        <v>69</v>
      </c>
      <c r="E63" s="22" t="s">
        <v>117</v>
      </c>
      <c r="F63" s="22" t="s">
        <v>118</v>
      </c>
      <c r="G63" s="22" t="s">
        <v>19</v>
      </c>
      <c r="H63" s="22">
        <v>1</v>
      </c>
      <c r="I63" s="22" t="s">
        <v>35</v>
      </c>
      <c r="J63" s="22">
        <v>89.99</v>
      </c>
      <c r="K63" s="22" t="s">
        <v>20</v>
      </c>
      <c r="L63" s="22" t="s">
        <v>36</v>
      </c>
      <c r="M63" s="22">
        <v>89.99</v>
      </c>
      <c r="N63" s="32">
        <v>44611</v>
      </c>
      <c r="O63" s="41"/>
      <c r="S63" s="27">
        <f t="shared" ca="1" si="0"/>
        <v>45985</v>
      </c>
      <c r="T63" s="19">
        <f t="shared" ca="1" si="1"/>
        <v>45985.990154629631</v>
      </c>
      <c r="U63" s="15">
        <f t="shared" ca="1" si="7"/>
        <v>3</v>
      </c>
      <c r="V63" s="20">
        <f t="shared" ca="1" si="2"/>
        <v>44611</v>
      </c>
      <c r="W63" s="20">
        <f t="shared" si="11"/>
        <v>44712</v>
      </c>
      <c r="Y63" s="15" t="str">
        <f t="shared" si="4"/>
        <v>SG</v>
      </c>
      <c r="Z63" s="15" t="str">
        <f t="shared" si="5"/>
        <v>SUSAN GREEN</v>
      </c>
      <c r="AA63" s="15" t="str">
        <f t="shared" si="6"/>
        <v>susan green</v>
      </c>
      <c r="AB63" s="40"/>
      <c r="AR63" s="15" t="str">
        <v>South</v>
      </c>
      <c r="AS63" s="15">
        <v>59.99</v>
      </c>
    </row>
    <row r="64" spans="1:50" ht="16.5" customHeight="1" x14ac:dyDescent="0.35">
      <c r="A64" s="31" t="s">
        <v>181</v>
      </c>
      <c r="B64" s="22">
        <v>45476</v>
      </c>
      <c r="C64" s="22" t="s">
        <v>182</v>
      </c>
      <c r="D64" s="22" t="s">
        <v>183</v>
      </c>
      <c r="E64" s="22" t="s">
        <v>114</v>
      </c>
      <c r="F64" s="22" t="s">
        <v>115</v>
      </c>
      <c r="G64" s="22" t="s">
        <v>33</v>
      </c>
      <c r="H64" s="22">
        <v>5</v>
      </c>
      <c r="I64" s="22" t="s">
        <v>21</v>
      </c>
      <c r="J64" s="22">
        <v>79.989999999999995</v>
      </c>
      <c r="K64" s="22" t="s">
        <v>57</v>
      </c>
      <c r="L64" s="22" t="s">
        <v>22</v>
      </c>
      <c r="M64" s="22">
        <v>399.95</v>
      </c>
      <c r="N64" s="32">
        <v>44981</v>
      </c>
      <c r="O64" s="41"/>
      <c r="S64" s="26">
        <f t="shared" ca="1" si="0"/>
        <v>45985</v>
      </c>
      <c r="T64" s="19">
        <f t="shared" ca="1" si="1"/>
        <v>45985.990154513885</v>
      </c>
      <c r="U64" s="15">
        <f t="shared" ca="1" si="7"/>
        <v>2</v>
      </c>
      <c r="V64" s="20">
        <f t="shared" ca="1" si="2"/>
        <v>44981</v>
      </c>
      <c r="W64" s="20">
        <f t="shared" si="11"/>
        <v>45077</v>
      </c>
      <c r="Y64" s="15" t="str">
        <f t="shared" si="4"/>
        <v>DM</v>
      </c>
      <c r="Z64" s="15" t="str">
        <f t="shared" si="5"/>
        <v>DAVID MARTINEZ</v>
      </c>
      <c r="AA64" s="15" t="str">
        <f t="shared" si="6"/>
        <v>david martinez</v>
      </c>
      <c r="AB64" s="40"/>
      <c r="AR64" s="15" t="str">
        <v>North</v>
      </c>
      <c r="AS64" s="15">
        <v>149.99</v>
      </c>
    </row>
    <row r="65" spans="1:45" ht="16.5" customHeight="1" x14ac:dyDescent="0.35">
      <c r="A65" s="31" t="s">
        <v>184</v>
      </c>
      <c r="B65" s="22">
        <v>45481</v>
      </c>
      <c r="C65" s="22" t="s">
        <v>185</v>
      </c>
      <c r="D65" s="22" t="s">
        <v>186</v>
      </c>
      <c r="E65" s="22" t="s">
        <v>44</v>
      </c>
      <c r="F65" s="22" t="s">
        <v>45</v>
      </c>
      <c r="G65" s="22" t="s">
        <v>46</v>
      </c>
      <c r="H65" s="22">
        <v>1</v>
      </c>
      <c r="I65" s="22" t="s">
        <v>40</v>
      </c>
      <c r="J65" s="22">
        <v>149.99</v>
      </c>
      <c r="K65" s="22" t="s">
        <v>34</v>
      </c>
      <c r="L65" s="22" t="s">
        <v>22</v>
      </c>
      <c r="M65" s="22">
        <v>149.99</v>
      </c>
      <c r="N65" s="32">
        <v>44421</v>
      </c>
      <c r="O65" s="41"/>
      <c r="S65" s="27">
        <f t="shared" ca="1" si="0"/>
        <v>45985</v>
      </c>
      <c r="T65" s="19">
        <f t="shared" ca="1" si="1"/>
        <v>45985.990154629631</v>
      </c>
      <c r="U65" s="15">
        <f t="shared" ca="1" si="7"/>
        <v>4</v>
      </c>
      <c r="V65" s="20">
        <f t="shared" ca="1" si="2"/>
        <v>44421</v>
      </c>
      <c r="W65" s="20">
        <f t="shared" si="11"/>
        <v>44530</v>
      </c>
      <c r="Y65" s="15" t="str">
        <f t="shared" si="4"/>
        <v>MW</v>
      </c>
      <c r="Z65" s="15" t="str">
        <f t="shared" si="5"/>
        <v>MARGARET WRIGHT</v>
      </c>
      <c r="AA65" s="15" t="str">
        <f t="shared" si="6"/>
        <v>margaret wright</v>
      </c>
      <c r="AB65" s="40"/>
      <c r="AR65" s="15" t="str">
        <v>North</v>
      </c>
      <c r="AS65" s="15">
        <v>249.99</v>
      </c>
    </row>
    <row r="66" spans="1:45" ht="16.5" customHeight="1" x14ac:dyDescent="0.35">
      <c r="A66" s="31" t="s">
        <v>187</v>
      </c>
      <c r="B66" s="22">
        <v>45481</v>
      </c>
      <c r="C66" s="22" t="s">
        <v>42</v>
      </c>
      <c r="D66" s="22" t="s">
        <v>43</v>
      </c>
      <c r="E66" s="22" t="s">
        <v>80</v>
      </c>
      <c r="F66" s="22" t="s">
        <v>81</v>
      </c>
      <c r="G66" s="22" t="s">
        <v>19</v>
      </c>
      <c r="H66" s="22">
        <v>2</v>
      </c>
      <c r="I66" s="22" t="s">
        <v>63</v>
      </c>
      <c r="J66" s="22">
        <v>699.99</v>
      </c>
      <c r="K66" s="22" t="s">
        <v>34</v>
      </c>
      <c r="L66" s="22" t="s">
        <v>27</v>
      </c>
      <c r="M66" s="22">
        <v>1399.98</v>
      </c>
      <c r="N66" s="32">
        <v>45389</v>
      </c>
      <c r="O66" s="41"/>
      <c r="S66" s="26">
        <f t="shared" ref="S66:S129" ca="1" si="12">TODAY()</f>
        <v>45985</v>
      </c>
      <c r="T66" s="19">
        <f t="shared" ref="T66:T129" ca="1" si="13">NOW()</f>
        <v>45985.990154513885</v>
      </c>
      <c r="U66" s="15">
        <f t="shared" ca="1" si="7"/>
        <v>1</v>
      </c>
      <c r="V66" s="20">
        <f t="shared" ref="V66:V129" ca="1" si="14">IF(F66&lt;&gt;"", IF(N66="", NOW(), N66), "")</f>
        <v>45389</v>
      </c>
      <c r="W66" s="20">
        <f t="shared" ref="W66:W129" si="15">EOMONTH(N66,3)</f>
        <v>45504</v>
      </c>
      <c r="Y66" s="15" t="str">
        <f t="shared" ref="Y66:Y129" si="16">UPPER(LEFT(D66,1) &amp; MID(D66, FIND(" ", D66)+1, 1))</f>
        <v>MB</v>
      </c>
      <c r="Z66" s="15" t="str">
        <f t="shared" ref="Z66:Z129" si="17">UPPER(D66)</f>
        <v>MICHAEL BROWN</v>
      </c>
      <c r="AA66" s="15" t="str">
        <f t="shared" ref="AA66:AA129" si="18">LOWER(D66)</f>
        <v>michael brown</v>
      </c>
      <c r="AB66" s="40"/>
      <c r="AR66" s="15" t="str">
        <v>South</v>
      </c>
      <c r="AS66" s="15">
        <v>149.99</v>
      </c>
    </row>
    <row r="67" spans="1:45" ht="16.5" customHeight="1" x14ac:dyDescent="0.35">
      <c r="A67" s="31" t="s">
        <v>188</v>
      </c>
      <c r="B67" s="22">
        <v>45481</v>
      </c>
      <c r="C67" s="22" t="s">
        <v>96</v>
      </c>
      <c r="D67" s="22" t="s">
        <v>97</v>
      </c>
      <c r="E67" s="22" t="s">
        <v>117</v>
      </c>
      <c r="F67" s="22" t="s">
        <v>118</v>
      </c>
      <c r="G67" s="22" t="s">
        <v>19</v>
      </c>
      <c r="H67" s="22">
        <v>5</v>
      </c>
      <c r="I67" s="22" t="s">
        <v>40</v>
      </c>
      <c r="J67" s="22">
        <v>89.99</v>
      </c>
      <c r="K67" s="22" t="s">
        <v>57</v>
      </c>
      <c r="L67" s="22" t="s">
        <v>27</v>
      </c>
      <c r="M67" s="22">
        <v>449.95</v>
      </c>
      <c r="N67" s="32">
        <v>45161</v>
      </c>
      <c r="O67" s="41"/>
      <c r="S67" s="27">
        <f t="shared" ca="1" si="12"/>
        <v>45985</v>
      </c>
      <c r="T67" s="19">
        <f t="shared" ca="1" si="13"/>
        <v>45985.990154629631</v>
      </c>
      <c r="U67" s="15">
        <f t="shared" ref="U67:U130" ca="1" si="19">DATEDIF(N67,S67,"y")</f>
        <v>2</v>
      </c>
      <c r="V67" s="20">
        <f t="shared" ca="1" si="14"/>
        <v>45161</v>
      </c>
      <c r="W67" s="20">
        <f t="shared" si="15"/>
        <v>45260</v>
      </c>
      <c r="Y67" s="15" t="str">
        <f t="shared" si="16"/>
        <v>BY</v>
      </c>
      <c r="Z67" s="15" t="str">
        <f t="shared" si="17"/>
        <v>BARBARA YOUNG</v>
      </c>
      <c r="AA67" s="15" t="str">
        <f t="shared" si="18"/>
        <v>barbara young</v>
      </c>
      <c r="AB67" s="40"/>
      <c r="AR67" s="15" t="str">
        <v>South</v>
      </c>
      <c r="AS67" s="15">
        <v>299.99</v>
      </c>
    </row>
    <row r="68" spans="1:45" ht="16.5" customHeight="1" x14ac:dyDescent="0.35">
      <c r="A68" s="31" t="s">
        <v>189</v>
      </c>
      <c r="B68" s="22">
        <v>45482</v>
      </c>
      <c r="C68" s="22" t="s">
        <v>171</v>
      </c>
      <c r="D68" s="22" t="s">
        <v>172</v>
      </c>
      <c r="E68" s="22" t="s">
        <v>31</v>
      </c>
      <c r="F68" s="22" t="s">
        <v>32</v>
      </c>
      <c r="G68" s="22" t="s">
        <v>33</v>
      </c>
      <c r="H68" s="22">
        <v>4</v>
      </c>
      <c r="I68" s="22" t="s">
        <v>35</v>
      </c>
      <c r="J68" s="22">
        <v>59.99</v>
      </c>
      <c r="K68" s="22" t="s">
        <v>20</v>
      </c>
      <c r="L68" s="22" t="s">
        <v>36</v>
      </c>
      <c r="M68" s="22">
        <v>239.96</v>
      </c>
      <c r="N68" s="32">
        <v>44509</v>
      </c>
      <c r="O68" s="41"/>
      <c r="S68" s="26">
        <f t="shared" ca="1" si="12"/>
        <v>45985</v>
      </c>
      <c r="T68" s="19">
        <f t="shared" ca="1" si="13"/>
        <v>45985.990154513885</v>
      </c>
      <c r="U68" s="15">
        <f t="shared" ca="1" si="19"/>
        <v>4</v>
      </c>
      <c r="V68" s="20">
        <f t="shared" ca="1" si="14"/>
        <v>44509</v>
      </c>
      <c r="W68" s="20">
        <f t="shared" si="15"/>
        <v>44620</v>
      </c>
      <c r="Y68" s="15" t="str">
        <f t="shared" si="16"/>
        <v>RR</v>
      </c>
      <c r="Z68" s="15" t="str">
        <f t="shared" si="17"/>
        <v>RAYMOND ROSS</v>
      </c>
      <c r="AA68" s="15" t="str">
        <f t="shared" si="18"/>
        <v>raymond ross</v>
      </c>
      <c r="AB68" s="40"/>
      <c r="AR68" s="15" t="str">
        <v>South</v>
      </c>
      <c r="AS68" s="15">
        <v>149.99</v>
      </c>
    </row>
    <row r="69" spans="1:45" ht="16.5" customHeight="1" x14ac:dyDescent="0.35">
      <c r="A69" s="31" t="s">
        <v>190</v>
      </c>
      <c r="B69" s="22">
        <v>45484</v>
      </c>
      <c r="C69" s="22" t="s">
        <v>24</v>
      </c>
      <c r="D69" s="22" t="s">
        <v>25</v>
      </c>
      <c r="E69" s="22" t="s">
        <v>52</v>
      </c>
      <c r="F69" s="22" t="s">
        <v>53</v>
      </c>
      <c r="G69" s="22" t="s">
        <v>19</v>
      </c>
      <c r="H69" s="22">
        <v>1</v>
      </c>
      <c r="I69" s="22" t="s">
        <v>21</v>
      </c>
      <c r="J69" s="22">
        <v>149.99</v>
      </c>
      <c r="K69" s="22" t="s">
        <v>20</v>
      </c>
      <c r="L69" s="22" t="s">
        <v>36</v>
      </c>
      <c r="M69" s="22">
        <v>149.99</v>
      </c>
      <c r="N69" s="32">
        <v>44909</v>
      </c>
      <c r="O69" s="41"/>
      <c r="S69" s="27">
        <f t="shared" ca="1" si="12"/>
        <v>45985</v>
      </c>
      <c r="T69" s="19">
        <f t="shared" ca="1" si="13"/>
        <v>45985.990154629631</v>
      </c>
      <c r="U69" s="15">
        <f t="shared" ca="1" si="19"/>
        <v>2</v>
      </c>
      <c r="V69" s="20">
        <f t="shared" ca="1" si="14"/>
        <v>44909</v>
      </c>
      <c r="W69" s="20">
        <f t="shared" si="15"/>
        <v>45016</v>
      </c>
      <c r="Y69" s="15" t="str">
        <f t="shared" si="16"/>
        <v>JJ</v>
      </c>
      <c r="Z69" s="15" t="str">
        <f t="shared" si="17"/>
        <v>JOSEPH JACKSON</v>
      </c>
      <c r="AA69" s="15" t="str">
        <f t="shared" si="18"/>
        <v>joseph jackson</v>
      </c>
      <c r="AB69" s="40"/>
      <c r="AR69" s="15" t="str">
        <v>North</v>
      </c>
      <c r="AS69" s="15">
        <v>699.99</v>
      </c>
    </row>
    <row r="70" spans="1:45" ht="16.5" customHeight="1" x14ac:dyDescent="0.35">
      <c r="A70" s="31" t="s">
        <v>191</v>
      </c>
      <c r="B70" s="22">
        <v>45484</v>
      </c>
      <c r="C70" s="22" t="s">
        <v>192</v>
      </c>
      <c r="D70" s="22" t="s">
        <v>193</v>
      </c>
      <c r="E70" s="22" t="s">
        <v>105</v>
      </c>
      <c r="F70" s="22" t="s">
        <v>106</v>
      </c>
      <c r="G70" s="22" t="s">
        <v>46</v>
      </c>
      <c r="H70" s="22">
        <v>1</v>
      </c>
      <c r="I70" s="22" t="s">
        <v>40</v>
      </c>
      <c r="J70" s="22">
        <v>299.99</v>
      </c>
      <c r="K70" s="22" t="s">
        <v>26</v>
      </c>
      <c r="L70" s="22" t="s">
        <v>27</v>
      </c>
      <c r="M70" s="22">
        <v>299.99</v>
      </c>
      <c r="N70" s="32">
        <v>44891</v>
      </c>
      <c r="O70" s="41"/>
      <c r="S70" s="26">
        <f t="shared" ca="1" si="12"/>
        <v>45985</v>
      </c>
      <c r="T70" s="19">
        <f t="shared" ca="1" si="13"/>
        <v>45985.990154513885</v>
      </c>
      <c r="U70" s="15">
        <f t="shared" ca="1" si="19"/>
        <v>2</v>
      </c>
      <c r="V70" s="20">
        <f t="shared" ca="1" si="14"/>
        <v>44891</v>
      </c>
      <c r="W70" s="20">
        <f t="shared" si="15"/>
        <v>44985</v>
      </c>
      <c r="Y70" s="15" t="str">
        <f t="shared" si="16"/>
        <v>FT</v>
      </c>
      <c r="Z70" s="15" t="str">
        <f t="shared" si="17"/>
        <v>FRANK TORRES</v>
      </c>
      <c r="AA70" s="15" t="str">
        <f t="shared" si="18"/>
        <v>frank torres</v>
      </c>
      <c r="AB70" s="40"/>
      <c r="AR70" s="15" t="str">
        <v>North</v>
      </c>
      <c r="AS70" s="15">
        <v>899.99</v>
      </c>
    </row>
    <row r="71" spans="1:45" ht="16.5" customHeight="1" x14ac:dyDescent="0.35">
      <c r="A71" s="31" t="s">
        <v>194</v>
      </c>
      <c r="B71" s="22">
        <v>45487</v>
      </c>
      <c r="C71" s="22" t="s">
        <v>192</v>
      </c>
      <c r="D71" s="22" t="s">
        <v>193</v>
      </c>
      <c r="E71" s="22" t="s">
        <v>126</v>
      </c>
      <c r="F71" s="22" t="s">
        <v>127</v>
      </c>
      <c r="G71" s="22" t="s">
        <v>46</v>
      </c>
      <c r="H71" s="22">
        <v>2</v>
      </c>
      <c r="I71" s="22" t="s">
        <v>40</v>
      </c>
      <c r="J71" s="22">
        <v>199.99</v>
      </c>
      <c r="K71" s="22" t="s">
        <v>20</v>
      </c>
      <c r="L71" s="22" t="s">
        <v>22</v>
      </c>
      <c r="M71" s="22">
        <v>399.98</v>
      </c>
      <c r="N71" s="32">
        <v>44541</v>
      </c>
      <c r="O71" s="41"/>
      <c r="S71" s="27">
        <f t="shared" ca="1" si="12"/>
        <v>45985</v>
      </c>
      <c r="T71" s="19">
        <f t="shared" ca="1" si="13"/>
        <v>45985.990154629631</v>
      </c>
      <c r="U71" s="15">
        <f t="shared" ca="1" si="19"/>
        <v>3</v>
      </c>
      <c r="V71" s="20">
        <f t="shared" ca="1" si="14"/>
        <v>44541</v>
      </c>
      <c r="W71" s="20">
        <f t="shared" si="15"/>
        <v>44651</v>
      </c>
      <c r="Y71" s="15" t="str">
        <f t="shared" si="16"/>
        <v>FT</v>
      </c>
      <c r="Z71" s="15" t="str">
        <f t="shared" si="17"/>
        <v>FRANK TORRES</v>
      </c>
      <c r="AA71" s="15" t="str">
        <f t="shared" si="18"/>
        <v>frank torres</v>
      </c>
      <c r="AB71" s="40"/>
      <c r="AR71" s="15" t="str">
        <v>South</v>
      </c>
      <c r="AS71" s="15">
        <v>149.99</v>
      </c>
    </row>
    <row r="72" spans="1:45" ht="16.5" customHeight="1" x14ac:dyDescent="0.35">
      <c r="A72" s="31" t="s">
        <v>195</v>
      </c>
      <c r="B72" s="22">
        <v>45490</v>
      </c>
      <c r="C72" s="22" t="s">
        <v>196</v>
      </c>
      <c r="D72" s="22" t="s">
        <v>197</v>
      </c>
      <c r="E72" s="22" t="s">
        <v>31</v>
      </c>
      <c r="F72" s="22" t="s">
        <v>32</v>
      </c>
      <c r="G72" s="22" t="s">
        <v>33</v>
      </c>
      <c r="H72" s="22">
        <v>3</v>
      </c>
      <c r="I72" s="22" t="s">
        <v>50</v>
      </c>
      <c r="J72" s="22">
        <v>59.99</v>
      </c>
      <c r="K72" s="22" t="s">
        <v>26</v>
      </c>
      <c r="L72" s="22" t="s">
        <v>22</v>
      </c>
      <c r="M72" s="22">
        <v>179.97</v>
      </c>
      <c r="N72" s="32">
        <v>45130</v>
      </c>
      <c r="O72" s="41"/>
      <c r="S72" s="26">
        <f t="shared" ca="1" si="12"/>
        <v>45985</v>
      </c>
      <c r="T72" s="19">
        <f t="shared" ca="1" si="13"/>
        <v>45985.990154513885</v>
      </c>
      <c r="U72" s="15">
        <f t="shared" ca="1" si="19"/>
        <v>2</v>
      </c>
      <c r="V72" s="20">
        <f t="shared" ca="1" si="14"/>
        <v>45130</v>
      </c>
      <c r="W72" s="20">
        <f t="shared" si="15"/>
        <v>45230</v>
      </c>
      <c r="Y72" s="15" t="str">
        <f t="shared" si="16"/>
        <v>GM</v>
      </c>
      <c r="Z72" s="15" t="str">
        <f t="shared" si="17"/>
        <v>GERALD MURPHY</v>
      </c>
      <c r="AA72" s="15" t="str">
        <f t="shared" si="18"/>
        <v>gerald murphy</v>
      </c>
      <c r="AB72" s="40"/>
      <c r="AR72" s="15" t="str">
        <v>North</v>
      </c>
      <c r="AS72" s="15">
        <v>149.99</v>
      </c>
    </row>
    <row r="73" spans="1:45" ht="16.5" customHeight="1" x14ac:dyDescent="0.35">
      <c r="A73" s="31" t="s">
        <v>198</v>
      </c>
      <c r="B73" s="22">
        <v>45490</v>
      </c>
      <c r="C73" s="22" t="s">
        <v>72</v>
      </c>
      <c r="D73" s="22" t="s">
        <v>73</v>
      </c>
      <c r="E73" s="22" t="s">
        <v>44</v>
      </c>
      <c r="F73" s="22" t="s">
        <v>45</v>
      </c>
      <c r="G73" s="22" t="s">
        <v>46</v>
      </c>
      <c r="H73" s="22">
        <v>3</v>
      </c>
      <c r="I73" s="22" t="s">
        <v>21</v>
      </c>
      <c r="J73" s="22">
        <v>149.99</v>
      </c>
      <c r="K73" s="22" t="s">
        <v>20</v>
      </c>
      <c r="L73" s="22" t="s">
        <v>27</v>
      </c>
      <c r="M73" s="22">
        <v>449.97</v>
      </c>
      <c r="N73" s="32">
        <v>45199</v>
      </c>
      <c r="O73" s="41"/>
      <c r="S73" s="27">
        <f t="shared" ca="1" si="12"/>
        <v>45985</v>
      </c>
      <c r="T73" s="19">
        <f t="shared" ca="1" si="13"/>
        <v>45985.990154629631</v>
      </c>
      <c r="U73" s="15">
        <f t="shared" ca="1" si="19"/>
        <v>2</v>
      </c>
      <c r="V73" s="20">
        <f t="shared" ca="1" si="14"/>
        <v>45199</v>
      </c>
      <c r="W73" s="20">
        <f t="shared" si="15"/>
        <v>45291</v>
      </c>
      <c r="Y73" s="15" t="str">
        <f t="shared" si="16"/>
        <v>PR</v>
      </c>
      <c r="Z73" s="15" t="str">
        <f t="shared" si="17"/>
        <v>PETER RICHARDSON</v>
      </c>
      <c r="AA73" s="15" t="str">
        <f t="shared" si="18"/>
        <v>peter richardson</v>
      </c>
      <c r="AB73" s="40"/>
      <c r="AR73" s="15" t="str">
        <v>South</v>
      </c>
      <c r="AS73" s="15">
        <v>299.99</v>
      </c>
    </row>
    <row r="74" spans="1:45" ht="16.5" customHeight="1" x14ac:dyDescent="0.35">
      <c r="A74" s="31" t="s">
        <v>199</v>
      </c>
      <c r="B74" s="22">
        <v>45491</v>
      </c>
      <c r="C74" s="22" t="s">
        <v>65</v>
      </c>
      <c r="D74" s="22" t="s">
        <v>66</v>
      </c>
      <c r="E74" s="22" t="s">
        <v>126</v>
      </c>
      <c r="F74" s="22" t="s">
        <v>127</v>
      </c>
      <c r="G74" s="22" t="s">
        <v>46</v>
      </c>
      <c r="H74" s="22">
        <v>3</v>
      </c>
      <c r="I74" s="22" t="s">
        <v>40</v>
      </c>
      <c r="J74" s="22">
        <v>199.99</v>
      </c>
      <c r="K74" s="22" t="s">
        <v>20</v>
      </c>
      <c r="L74" s="22" t="s">
        <v>27</v>
      </c>
      <c r="M74" s="22">
        <v>599.97</v>
      </c>
      <c r="N74" s="32">
        <v>45254</v>
      </c>
      <c r="O74" s="41"/>
      <c r="S74" s="26">
        <f t="shared" ca="1" si="12"/>
        <v>45985</v>
      </c>
      <c r="T74" s="19">
        <f t="shared" ca="1" si="13"/>
        <v>45985.990154513885</v>
      </c>
      <c r="U74" s="15">
        <f t="shared" ca="1" si="19"/>
        <v>2</v>
      </c>
      <c r="V74" s="20">
        <f t="shared" ca="1" si="14"/>
        <v>45254</v>
      </c>
      <c r="W74" s="20">
        <f t="shared" si="15"/>
        <v>45351</v>
      </c>
      <c r="Y74" s="15" t="str">
        <f t="shared" si="16"/>
        <v>KH</v>
      </c>
      <c r="Z74" s="15" t="str">
        <f t="shared" si="17"/>
        <v>KAREN HILL</v>
      </c>
      <c r="AA74" s="15" t="str">
        <f t="shared" si="18"/>
        <v>karen hill</v>
      </c>
      <c r="AB74" s="40"/>
      <c r="AR74" s="15" t="str">
        <v>South</v>
      </c>
      <c r="AS74" s="15">
        <v>89.99</v>
      </c>
    </row>
    <row r="75" spans="1:45" ht="16.5" customHeight="1" x14ac:dyDescent="0.35">
      <c r="A75" s="31" t="s">
        <v>200</v>
      </c>
      <c r="B75" s="22">
        <v>45496</v>
      </c>
      <c r="C75" s="22" t="s">
        <v>150</v>
      </c>
      <c r="D75" s="22" t="s">
        <v>151</v>
      </c>
      <c r="E75" s="22" t="s">
        <v>61</v>
      </c>
      <c r="F75" s="22" t="s">
        <v>62</v>
      </c>
      <c r="G75" s="22" t="s">
        <v>19</v>
      </c>
      <c r="H75" s="22">
        <v>1</v>
      </c>
      <c r="I75" s="22" t="s">
        <v>21</v>
      </c>
      <c r="J75" s="22">
        <v>899.99</v>
      </c>
      <c r="K75" s="22" t="s">
        <v>20</v>
      </c>
      <c r="L75" s="22" t="s">
        <v>36</v>
      </c>
      <c r="M75" s="22">
        <v>899.99</v>
      </c>
      <c r="N75" s="32">
        <v>45179</v>
      </c>
      <c r="O75" s="41"/>
      <c r="S75" s="27">
        <f t="shared" ca="1" si="12"/>
        <v>45985</v>
      </c>
      <c r="T75" s="19">
        <f t="shared" ca="1" si="13"/>
        <v>45985.990154629631</v>
      </c>
      <c r="U75" s="15">
        <f t="shared" ca="1" si="19"/>
        <v>2</v>
      </c>
      <c r="V75" s="20">
        <f t="shared" ca="1" si="14"/>
        <v>45179</v>
      </c>
      <c r="W75" s="20">
        <f t="shared" si="15"/>
        <v>45291</v>
      </c>
      <c r="Y75" s="15" t="str">
        <f t="shared" si="16"/>
        <v>SB</v>
      </c>
      <c r="Z75" s="15" t="str">
        <f t="shared" si="17"/>
        <v>SHARON BUTLER</v>
      </c>
      <c r="AA75" s="15" t="str">
        <f t="shared" si="18"/>
        <v>sharon butler</v>
      </c>
      <c r="AB75" s="40"/>
      <c r="AR75" s="15" t="str">
        <v>North</v>
      </c>
      <c r="AS75" s="15">
        <v>899.99</v>
      </c>
    </row>
    <row r="76" spans="1:45" ht="16.5" customHeight="1" x14ac:dyDescent="0.35">
      <c r="A76" s="31" t="s">
        <v>201</v>
      </c>
      <c r="B76" s="22">
        <v>45497</v>
      </c>
      <c r="C76" s="22" t="s">
        <v>24</v>
      </c>
      <c r="D76" s="22" t="s">
        <v>25</v>
      </c>
      <c r="E76" s="22" t="s">
        <v>61</v>
      </c>
      <c r="F76" s="22" t="s">
        <v>62</v>
      </c>
      <c r="G76" s="22" t="s">
        <v>19</v>
      </c>
      <c r="H76" s="22">
        <v>5</v>
      </c>
      <c r="I76" s="22" t="s">
        <v>35</v>
      </c>
      <c r="J76" s="22">
        <v>899.99</v>
      </c>
      <c r="K76" s="22" t="s">
        <v>57</v>
      </c>
      <c r="L76" s="22" t="s">
        <v>36</v>
      </c>
      <c r="M76" s="22">
        <v>4499.95</v>
      </c>
      <c r="N76" s="32">
        <v>44899</v>
      </c>
      <c r="O76" s="41"/>
      <c r="S76" s="26">
        <f t="shared" ca="1" si="12"/>
        <v>45985</v>
      </c>
      <c r="T76" s="19">
        <f t="shared" ca="1" si="13"/>
        <v>45985.990154513885</v>
      </c>
      <c r="U76" s="15">
        <f t="shared" ca="1" si="19"/>
        <v>2</v>
      </c>
      <c r="V76" s="20">
        <f t="shared" ca="1" si="14"/>
        <v>44899</v>
      </c>
      <c r="W76" s="20">
        <f t="shared" si="15"/>
        <v>45016</v>
      </c>
      <c r="Y76" s="15" t="str">
        <f t="shared" si="16"/>
        <v>JJ</v>
      </c>
      <c r="Z76" s="15" t="str">
        <f t="shared" si="17"/>
        <v>JOSEPH JACKSON</v>
      </c>
      <c r="AA76" s="15" t="str">
        <f t="shared" si="18"/>
        <v>joseph jackson</v>
      </c>
      <c r="AB76" s="40"/>
      <c r="AR76" s="15" t="str">
        <v>South</v>
      </c>
      <c r="AS76" s="15">
        <v>89.99</v>
      </c>
    </row>
    <row r="77" spans="1:45" ht="16.5" customHeight="1" x14ac:dyDescent="0.35">
      <c r="A77" s="31" t="s">
        <v>202</v>
      </c>
      <c r="B77" s="22">
        <v>45498</v>
      </c>
      <c r="C77" s="22" t="s">
        <v>182</v>
      </c>
      <c r="D77" s="22" t="s">
        <v>183</v>
      </c>
      <c r="E77" s="22" t="s">
        <v>31</v>
      </c>
      <c r="F77" s="22" t="s">
        <v>32</v>
      </c>
      <c r="G77" s="22" t="s">
        <v>33</v>
      </c>
      <c r="H77" s="22">
        <v>2</v>
      </c>
      <c r="I77" s="22" t="s">
        <v>40</v>
      </c>
      <c r="J77" s="22">
        <v>59.99</v>
      </c>
      <c r="K77" s="22" t="s">
        <v>20</v>
      </c>
      <c r="L77" s="22" t="s">
        <v>36</v>
      </c>
      <c r="M77" s="22">
        <v>119.98</v>
      </c>
      <c r="N77" s="32">
        <v>45152</v>
      </c>
      <c r="O77" s="41"/>
      <c r="S77" s="27">
        <f t="shared" ca="1" si="12"/>
        <v>45985</v>
      </c>
      <c r="T77" s="19">
        <f t="shared" ca="1" si="13"/>
        <v>45985.990154629631</v>
      </c>
      <c r="U77" s="15">
        <f t="shared" ca="1" si="19"/>
        <v>2</v>
      </c>
      <c r="V77" s="20">
        <f t="shared" ca="1" si="14"/>
        <v>45152</v>
      </c>
      <c r="W77" s="20">
        <f t="shared" si="15"/>
        <v>45260</v>
      </c>
      <c r="Y77" s="15" t="str">
        <f t="shared" si="16"/>
        <v>DM</v>
      </c>
      <c r="Z77" s="15" t="str">
        <f t="shared" si="17"/>
        <v>DAVID MARTINEZ</v>
      </c>
      <c r="AA77" s="15" t="str">
        <f t="shared" si="18"/>
        <v>david martinez</v>
      </c>
      <c r="AB77" s="40"/>
      <c r="AR77" s="15" t="str">
        <v>North</v>
      </c>
      <c r="AS77" s="15">
        <v>899.99</v>
      </c>
    </row>
    <row r="78" spans="1:45" ht="16.5" customHeight="1" x14ac:dyDescent="0.35">
      <c r="A78" s="31" t="s">
        <v>203</v>
      </c>
      <c r="B78" s="22">
        <v>45498</v>
      </c>
      <c r="C78" s="22" t="s">
        <v>196</v>
      </c>
      <c r="D78" s="22" t="s">
        <v>197</v>
      </c>
      <c r="E78" s="22" t="s">
        <v>17</v>
      </c>
      <c r="F78" s="22" t="s">
        <v>18</v>
      </c>
      <c r="G78" s="22" t="s">
        <v>19</v>
      </c>
      <c r="H78" s="22">
        <v>4</v>
      </c>
      <c r="I78" s="22" t="s">
        <v>21</v>
      </c>
      <c r="J78" s="22">
        <v>249.99</v>
      </c>
      <c r="K78" s="22" t="s">
        <v>57</v>
      </c>
      <c r="L78" s="22" t="s">
        <v>36</v>
      </c>
      <c r="M78" s="22">
        <v>999.96</v>
      </c>
      <c r="N78" s="32">
        <v>45127</v>
      </c>
      <c r="O78" s="41"/>
      <c r="S78" s="26">
        <f t="shared" ca="1" si="12"/>
        <v>45985</v>
      </c>
      <c r="T78" s="19">
        <f t="shared" ca="1" si="13"/>
        <v>45985.990154513885</v>
      </c>
      <c r="U78" s="15">
        <f t="shared" ca="1" si="19"/>
        <v>2</v>
      </c>
      <c r="V78" s="20">
        <f t="shared" ca="1" si="14"/>
        <v>45127</v>
      </c>
      <c r="W78" s="20">
        <f t="shared" si="15"/>
        <v>45230</v>
      </c>
      <c r="Y78" s="15" t="str">
        <f t="shared" si="16"/>
        <v>GM</v>
      </c>
      <c r="Z78" s="15" t="str">
        <f t="shared" si="17"/>
        <v>GERALD MURPHY</v>
      </c>
      <c r="AA78" s="15" t="str">
        <f t="shared" si="18"/>
        <v>gerald murphy</v>
      </c>
      <c r="AB78" s="40"/>
      <c r="AR78" s="15" t="str">
        <v>South</v>
      </c>
      <c r="AS78" s="15">
        <v>299.99</v>
      </c>
    </row>
    <row r="79" spans="1:45" ht="16.5" customHeight="1" x14ac:dyDescent="0.35">
      <c r="A79" s="31" t="s">
        <v>204</v>
      </c>
      <c r="B79" s="22">
        <v>45500</v>
      </c>
      <c r="C79" s="22" t="s">
        <v>96</v>
      </c>
      <c r="D79" s="22" t="s">
        <v>97</v>
      </c>
      <c r="E79" s="22" t="s">
        <v>17</v>
      </c>
      <c r="F79" s="22" t="s">
        <v>18</v>
      </c>
      <c r="G79" s="22" t="s">
        <v>19</v>
      </c>
      <c r="H79" s="22">
        <v>2</v>
      </c>
      <c r="I79" s="22" t="s">
        <v>40</v>
      </c>
      <c r="J79" s="22">
        <v>249.99</v>
      </c>
      <c r="K79" s="22" t="s">
        <v>20</v>
      </c>
      <c r="L79" s="22" t="s">
        <v>27</v>
      </c>
      <c r="M79" s="22">
        <v>499.98</v>
      </c>
      <c r="N79" s="32">
        <v>45164</v>
      </c>
      <c r="O79" s="41"/>
      <c r="S79" s="27">
        <f t="shared" ca="1" si="12"/>
        <v>45985</v>
      </c>
      <c r="T79" s="19">
        <f t="shared" ca="1" si="13"/>
        <v>45985.990154629631</v>
      </c>
      <c r="U79" s="15">
        <f t="shared" ca="1" si="19"/>
        <v>2</v>
      </c>
      <c r="V79" s="20">
        <f t="shared" ca="1" si="14"/>
        <v>45164</v>
      </c>
      <c r="W79" s="20">
        <f t="shared" si="15"/>
        <v>45260</v>
      </c>
      <c r="Y79" s="15" t="str">
        <f t="shared" si="16"/>
        <v>BY</v>
      </c>
      <c r="Z79" s="15" t="str">
        <f t="shared" si="17"/>
        <v>BARBARA YOUNG</v>
      </c>
      <c r="AA79" s="15" t="str">
        <f t="shared" si="18"/>
        <v>barbara young</v>
      </c>
      <c r="AB79" s="40"/>
      <c r="AR79" s="15" t="str">
        <v>South</v>
      </c>
      <c r="AS79" s="15">
        <v>249.99</v>
      </c>
    </row>
    <row r="80" spans="1:45" ht="16.5" customHeight="1" x14ac:dyDescent="0.35">
      <c r="A80" s="31" t="s">
        <v>205</v>
      </c>
      <c r="B80" s="22">
        <v>45500</v>
      </c>
      <c r="C80" s="22" t="s">
        <v>147</v>
      </c>
      <c r="D80" s="22" t="s">
        <v>148</v>
      </c>
      <c r="E80" s="22" t="s">
        <v>105</v>
      </c>
      <c r="F80" s="22" t="s">
        <v>106</v>
      </c>
      <c r="G80" s="22" t="s">
        <v>46</v>
      </c>
      <c r="H80" s="22">
        <v>1</v>
      </c>
      <c r="I80" s="22" t="s">
        <v>35</v>
      </c>
      <c r="J80" s="22">
        <v>299.99</v>
      </c>
      <c r="K80" s="22" t="s">
        <v>20</v>
      </c>
      <c r="L80" s="22" t="s">
        <v>22</v>
      </c>
      <c r="M80" s="22">
        <v>299.99</v>
      </c>
      <c r="N80" s="32">
        <v>44982</v>
      </c>
      <c r="O80" s="41"/>
      <c r="S80" s="26">
        <f t="shared" ca="1" si="12"/>
        <v>45985</v>
      </c>
      <c r="T80" s="19">
        <f t="shared" ca="1" si="13"/>
        <v>45985.990154513885</v>
      </c>
      <c r="U80" s="15">
        <f t="shared" ca="1" si="19"/>
        <v>2</v>
      </c>
      <c r="V80" s="20">
        <f t="shared" ca="1" si="14"/>
        <v>44982</v>
      </c>
      <c r="W80" s="20">
        <f t="shared" si="15"/>
        <v>45077</v>
      </c>
      <c r="Y80" s="15" t="str">
        <f t="shared" si="16"/>
        <v>DK</v>
      </c>
      <c r="Z80" s="15" t="str">
        <f t="shared" si="17"/>
        <v>DANIEL KING</v>
      </c>
      <c r="AA80" s="15" t="str">
        <f t="shared" si="18"/>
        <v>daniel king</v>
      </c>
      <c r="AB80" s="40"/>
      <c r="AR80" s="15" t="str">
        <v>North</v>
      </c>
      <c r="AS80" s="15">
        <v>699.99</v>
      </c>
    </row>
    <row r="81" spans="1:45" ht="16.5" customHeight="1" x14ac:dyDescent="0.35">
      <c r="A81" s="31" t="s">
        <v>206</v>
      </c>
      <c r="B81" s="22">
        <v>45501</v>
      </c>
      <c r="C81" s="22" t="s">
        <v>86</v>
      </c>
      <c r="D81" s="22" t="s">
        <v>87</v>
      </c>
      <c r="E81" s="22" t="s">
        <v>117</v>
      </c>
      <c r="F81" s="22" t="s">
        <v>118</v>
      </c>
      <c r="G81" s="22" t="s">
        <v>19</v>
      </c>
      <c r="H81" s="22">
        <v>2</v>
      </c>
      <c r="I81" s="22" t="s">
        <v>35</v>
      </c>
      <c r="J81" s="22">
        <v>89.99</v>
      </c>
      <c r="K81" s="22" t="s">
        <v>34</v>
      </c>
      <c r="L81" s="22" t="s">
        <v>22</v>
      </c>
      <c r="M81" s="22">
        <v>179.98</v>
      </c>
      <c r="N81" s="32">
        <v>44976</v>
      </c>
      <c r="O81" s="41"/>
      <c r="S81" s="27">
        <f t="shared" ca="1" si="12"/>
        <v>45985</v>
      </c>
      <c r="T81" s="19">
        <f t="shared" ca="1" si="13"/>
        <v>45985.990154629631</v>
      </c>
      <c r="U81" s="15">
        <f t="shared" ca="1" si="19"/>
        <v>2</v>
      </c>
      <c r="V81" s="20">
        <f t="shared" ca="1" si="14"/>
        <v>44976</v>
      </c>
      <c r="W81" s="20">
        <f t="shared" si="15"/>
        <v>45077</v>
      </c>
      <c r="Y81" s="15" t="str">
        <f t="shared" si="16"/>
        <v>MC</v>
      </c>
      <c r="Z81" s="15" t="str">
        <f t="shared" si="17"/>
        <v>MARK CARTER</v>
      </c>
      <c r="AA81" s="15" t="str">
        <f t="shared" si="18"/>
        <v>mark carter</v>
      </c>
      <c r="AB81" s="40"/>
      <c r="AR81" s="15" t="str">
        <v>South</v>
      </c>
      <c r="AS81" s="15">
        <v>79.989999999999995</v>
      </c>
    </row>
    <row r="82" spans="1:45" ht="16.5" customHeight="1" x14ac:dyDescent="0.35">
      <c r="A82" s="31" t="s">
        <v>207</v>
      </c>
      <c r="B82" s="22">
        <v>45501</v>
      </c>
      <c r="C82" s="22" t="s">
        <v>147</v>
      </c>
      <c r="D82" s="22" t="s">
        <v>148</v>
      </c>
      <c r="E82" s="22" t="s">
        <v>105</v>
      </c>
      <c r="F82" s="22" t="s">
        <v>106</v>
      </c>
      <c r="G82" s="22" t="s">
        <v>46</v>
      </c>
      <c r="H82" s="22">
        <v>3</v>
      </c>
      <c r="I82" s="22" t="s">
        <v>21</v>
      </c>
      <c r="J82" s="22">
        <v>299.99</v>
      </c>
      <c r="K82" s="22" t="s">
        <v>20</v>
      </c>
      <c r="L82" s="22" t="s">
        <v>22</v>
      </c>
      <c r="M82" s="22">
        <v>899.97</v>
      </c>
      <c r="N82" s="32">
        <v>44732</v>
      </c>
      <c r="O82" s="41"/>
      <c r="S82" s="26">
        <f t="shared" ca="1" si="12"/>
        <v>45985</v>
      </c>
      <c r="T82" s="19">
        <f t="shared" ca="1" si="13"/>
        <v>45985.990154513885</v>
      </c>
      <c r="U82" s="15">
        <f t="shared" ca="1" si="19"/>
        <v>3</v>
      </c>
      <c r="V82" s="20">
        <f t="shared" ca="1" si="14"/>
        <v>44732</v>
      </c>
      <c r="W82" s="20">
        <f t="shared" si="15"/>
        <v>44834</v>
      </c>
      <c r="Y82" s="15" t="str">
        <f t="shared" si="16"/>
        <v>DK</v>
      </c>
      <c r="Z82" s="15" t="str">
        <f t="shared" si="17"/>
        <v>DANIEL KING</v>
      </c>
      <c r="AA82" s="15" t="str">
        <f t="shared" si="18"/>
        <v>daniel king</v>
      </c>
      <c r="AB82" s="40"/>
      <c r="AR82" s="15" t="str">
        <v>North</v>
      </c>
      <c r="AS82" s="15">
        <v>299.99</v>
      </c>
    </row>
    <row r="83" spans="1:45" ht="16.5" customHeight="1" x14ac:dyDescent="0.35">
      <c r="A83" s="31" t="s">
        <v>208</v>
      </c>
      <c r="B83" s="22">
        <v>45503</v>
      </c>
      <c r="C83" s="22" t="s">
        <v>86</v>
      </c>
      <c r="D83" s="22" t="s">
        <v>87</v>
      </c>
      <c r="E83" s="22" t="s">
        <v>80</v>
      </c>
      <c r="F83" s="22" t="s">
        <v>81</v>
      </c>
      <c r="G83" s="22" t="s">
        <v>19</v>
      </c>
      <c r="H83" s="22">
        <v>2</v>
      </c>
      <c r="I83" s="22" t="s">
        <v>40</v>
      </c>
      <c r="J83" s="22">
        <v>699.99</v>
      </c>
      <c r="K83" s="22" t="s">
        <v>26</v>
      </c>
      <c r="L83" s="22" t="s">
        <v>27</v>
      </c>
      <c r="M83" s="22">
        <v>1399.98</v>
      </c>
      <c r="N83" s="32">
        <v>44999</v>
      </c>
      <c r="O83" s="41"/>
      <c r="S83" s="27">
        <f t="shared" ca="1" si="12"/>
        <v>45985</v>
      </c>
      <c r="T83" s="19">
        <f t="shared" ca="1" si="13"/>
        <v>45985.990154629631</v>
      </c>
      <c r="U83" s="15">
        <f t="shared" ca="1" si="19"/>
        <v>2</v>
      </c>
      <c r="V83" s="20">
        <f t="shared" ca="1" si="14"/>
        <v>44999</v>
      </c>
      <c r="W83" s="20">
        <f t="shared" si="15"/>
        <v>45107</v>
      </c>
      <c r="Y83" s="15" t="str">
        <f t="shared" si="16"/>
        <v>MC</v>
      </c>
      <c r="Z83" s="15" t="str">
        <f t="shared" si="17"/>
        <v>MARK CARTER</v>
      </c>
      <c r="AA83" s="15" t="str">
        <f t="shared" si="18"/>
        <v>mark carter</v>
      </c>
      <c r="AB83" s="40"/>
      <c r="AR83" s="15" t="str">
        <v>North</v>
      </c>
      <c r="AS83" s="15">
        <v>249.99</v>
      </c>
    </row>
    <row r="84" spans="1:45" ht="16.5" customHeight="1" x14ac:dyDescent="0.35">
      <c r="A84" s="31" t="s">
        <v>209</v>
      </c>
      <c r="B84" s="22">
        <v>45504</v>
      </c>
      <c r="C84" s="22" t="s">
        <v>120</v>
      </c>
      <c r="D84" s="22" t="s">
        <v>121</v>
      </c>
      <c r="E84" s="22" t="s">
        <v>61</v>
      </c>
      <c r="F84" s="22" t="s">
        <v>62</v>
      </c>
      <c r="G84" s="22" t="s">
        <v>19</v>
      </c>
      <c r="H84" s="22">
        <v>4</v>
      </c>
      <c r="I84" s="22" t="s">
        <v>35</v>
      </c>
      <c r="J84" s="22">
        <v>899.99</v>
      </c>
      <c r="K84" s="22" t="s">
        <v>57</v>
      </c>
      <c r="L84" s="22" t="s">
        <v>36</v>
      </c>
      <c r="M84" s="22">
        <v>3599.96</v>
      </c>
      <c r="N84" s="32">
        <v>44523</v>
      </c>
      <c r="O84" s="41"/>
      <c r="S84" s="26">
        <f t="shared" ca="1" si="12"/>
        <v>45985</v>
      </c>
      <c r="T84" s="19">
        <f t="shared" ca="1" si="13"/>
        <v>45985.990154513885</v>
      </c>
      <c r="U84" s="15">
        <f t="shared" ca="1" si="19"/>
        <v>4</v>
      </c>
      <c r="V84" s="20">
        <f t="shared" ca="1" si="14"/>
        <v>44523</v>
      </c>
      <c r="W84" s="20">
        <f t="shared" si="15"/>
        <v>44620</v>
      </c>
      <c r="Y84" s="15" t="str">
        <f t="shared" si="16"/>
        <v>HR</v>
      </c>
      <c r="Z84" s="15" t="str">
        <f t="shared" si="17"/>
        <v>HELEN ROBERTS</v>
      </c>
      <c r="AA84" s="15" t="str">
        <f t="shared" si="18"/>
        <v>helen roberts</v>
      </c>
      <c r="AB84" s="40"/>
      <c r="AR84" s="15" t="str">
        <v>North</v>
      </c>
      <c r="AS84" s="15">
        <v>149.99</v>
      </c>
    </row>
    <row r="85" spans="1:45" ht="16.5" customHeight="1" x14ac:dyDescent="0.35">
      <c r="A85" s="31" t="s">
        <v>210</v>
      </c>
      <c r="B85" s="22">
        <v>45509</v>
      </c>
      <c r="C85" s="22" t="s">
        <v>211</v>
      </c>
      <c r="D85" s="22" t="s">
        <v>212</v>
      </c>
      <c r="E85" s="22" t="s">
        <v>44</v>
      </c>
      <c r="F85" s="22" t="s">
        <v>45</v>
      </c>
      <c r="G85" s="22" t="s">
        <v>46</v>
      </c>
      <c r="H85" s="22">
        <v>2</v>
      </c>
      <c r="I85" s="22" t="s">
        <v>50</v>
      </c>
      <c r="J85" s="22">
        <v>149.99</v>
      </c>
      <c r="K85" s="22" t="s">
        <v>26</v>
      </c>
      <c r="L85" s="22" t="s">
        <v>22</v>
      </c>
      <c r="M85" s="22">
        <v>299.98</v>
      </c>
      <c r="N85" s="32">
        <v>44542</v>
      </c>
      <c r="O85" s="41"/>
      <c r="S85" s="27">
        <f t="shared" ca="1" si="12"/>
        <v>45985</v>
      </c>
      <c r="T85" s="19">
        <f t="shared" ca="1" si="13"/>
        <v>45985.990154629631</v>
      </c>
      <c r="U85" s="15">
        <f t="shared" ca="1" si="19"/>
        <v>3</v>
      </c>
      <c r="V85" s="20">
        <f t="shared" ca="1" si="14"/>
        <v>44542</v>
      </c>
      <c r="W85" s="20">
        <f t="shared" si="15"/>
        <v>44651</v>
      </c>
      <c r="Y85" s="15" t="str">
        <f t="shared" si="16"/>
        <v>EH</v>
      </c>
      <c r="Z85" s="15" t="str">
        <f t="shared" si="17"/>
        <v>ELIZABETH HALL</v>
      </c>
      <c r="AA85" s="15" t="str">
        <f t="shared" si="18"/>
        <v>elizabeth hall</v>
      </c>
      <c r="AB85" s="40"/>
      <c r="AR85" s="15" t="str">
        <v>South</v>
      </c>
      <c r="AS85" s="15">
        <v>299.99</v>
      </c>
    </row>
    <row r="86" spans="1:45" ht="16.5" customHeight="1" x14ac:dyDescent="0.35">
      <c r="A86" s="31" t="s">
        <v>213</v>
      </c>
      <c r="B86" s="22">
        <v>45510</v>
      </c>
      <c r="C86" s="22" t="s">
        <v>102</v>
      </c>
      <c r="D86" s="22" t="s">
        <v>103</v>
      </c>
      <c r="E86" s="22" t="s">
        <v>44</v>
      </c>
      <c r="F86" s="22" t="s">
        <v>45</v>
      </c>
      <c r="G86" s="22" t="s">
        <v>46</v>
      </c>
      <c r="H86" s="22">
        <v>2</v>
      </c>
      <c r="I86" s="22" t="s">
        <v>63</v>
      </c>
      <c r="J86" s="22">
        <v>149.99</v>
      </c>
      <c r="K86" s="22" t="s">
        <v>57</v>
      </c>
      <c r="L86" s="22" t="s">
        <v>36</v>
      </c>
      <c r="M86" s="22">
        <v>299.98</v>
      </c>
      <c r="N86" s="32">
        <v>44667</v>
      </c>
      <c r="O86" s="41"/>
      <c r="S86" s="26">
        <f t="shared" ca="1" si="12"/>
        <v>45985</v>
      </c>
      <c r="T86" s="19">
        <f t="shared" ca="1" si="13"/>
        <v>45985.990154513885</v>
      </c>
      <c r="U86" s="15">
        <f t="shared" ca="1" si="19"/>
        <v>3</v>
      </c>
      <c r="V86" s="20">
        <f t="shared" ca="1" si="14"/>
        <v>44667</v>
      </c>
      <c r="W86" s="20">
        <f t="shared" si="15"/>
        <v>44773</v>
      </c>
      <c r="Y86" s="15" t="str">
        <f t="shared" si="16"/>
        <v>CP</v>
      </c>
      <c r="Z86" s="15" t="str">
        <f t="shared" si="17"/>
        <v>CYNTHIA PRICE</v>
      </c>
      <c r="AA86" s="15" t="str">
        <f t="shared" si="18"/>
        <v>cynthia price</v>
      </c>
      <c r="AB86" s="40"/>
      <c r="AR86" s="15" t="str">
        <v>South</v>
      </c>
      <c r="AS86" s="15">
        <v>199.99</v>
      </c>
    </row>
    <row r="87" spans="1:45" ht="16.5" customHeight="1" x14ac:dyDescent="0.35">
      <c r="A87" s="31" t="s">
        <v>214</v>
      </c>
      <c r="B87" s="22">
        <v>45513</v>
      </c>
      <c r="C87" s="22" t="s">
        <v>89</v>
      </c>
      <c r="D87" s="22" t="s">
        <v>90</v>
      </c>
      <c r="E87" s="22" t="s">
        <v>117</v>
      </c>
      <c r="F87" s="22" t="s">
        <v>118</v>
      </c>
      <c r="G87" s="22" t="s">
        <v>19</v>
      </c>
      <c r="H87" s="22">
        <v>1</v>
      </c>
      <c r="I87" s="22" t="s">
        <v>40</v>
      </c>
      <c r="J87" s="22">
        <v>89.99</v>
      </c>
      <c r="K87" s="22" t="s">
        <v>26</v>
      </c>
      <c r="L87" s="22" t="s">
        <v>36</v>
      </c>
      <c r="M87" s="22">
        <v>89.99</v>
      </c>
      <c r="N87" s="32">
        <v>45393</v>
      </c>
      <c r="O87" s="41"/>
      <c r="S87" s="27">
        <f t="shared" ca="1" si="12"/>
        <v>45985</v>
      </c>
      <c r="T87" s="19">
        <f t="shared" ca="1" si="13"/>
        <v>45985.990154629631</v>
      </c>
      <c r="U87" s="15">
        <f t="shared" ca="1" si="19"/>
        <v>1</v>
      </c>
      <c r="V87" s="20">
        <f t="shared" ca="1" si="14"/>
        <v>45393</v>
      </c>
      <c r="W87" s="20">
        <f t="shared" si="15"/>
        <v>45504</v>
      </c>
      <c r="Y87" s="15" t="str">
        <f t="shared" si="16"/>
        <v>MG</v>
      </c>
      <c r="Z87" s="15" t="str">
        <f t="shared" si="17"/>
        <v>MARIA GARCIA</v>
      </c>
      <c r="AA87" s="15" t="str">
        <f t="shared" si="18"/>
        <v>maria garcia</v>
      </c>
      <c r="AB87" s="40"/>
      <c r="AR87" s="15" t="str">
        <v>South</v>
      </c>
      <c r="AS87" s="15">
        <v>89.99</v>
      </c>
    </row>
    <row r="88" spans="1:45" ht="16.5" customHeight="1" x14ac:dyDescent="0.35">
      <c r="A88" s="31" t="s">
        <v>215</v>
      </c>
      <c r="B88" s="22">
        <v>45515</v>
      </c>
      <c r="C88" s="22" t="s">
        <v>86</v>
      </c>
      <c r="D88" s="22" t="s">
        <v>87</v>
      </c>
      <c r="E88" s="22" t="s">
        <v>105</v>
      </c>
      <c r="F88" s="22" t="s">
        <v>106</v>
      </c>
      <c r="G88" s="22" t="s">
        <v>46</v>
      </c>
      <c r="H88" s="22">
        <v>5</v>
      </c>
      <c r="I88" s="22" t="s">
        <v>40</v>
      </c>
      <c r="J88" s="22">
        <v>299.99</v>
      </c>
      <c r="K88" s="22" t="s">
        <v>26</v>
      </c>
      <c r="L88" s="22" t="s">
        <v>22</v>
      </c>
      <c r="M88" s="22">
        <v>1499.95</v>
      </c>
      <c r="N88" s="32">
        <v>44965</v>
      </c>
      <c r="O88" s="41"/>
      <c r="S88" s="26">
        <f t="shared" ca="1" si="12"/>
        <v>45985</v>
      </c>
      <c r="T88" s="19">
        <f t="shared" ca="1" si="13"/>
        <v>45985.990154513885</v>
      </c>
      <c r="U88" s="15">
        <f t="shared" ca="1" si="19"/>
        <v>2</v>
      </c>
      <c r="V88" s="20">
        <f t="shared" ca="1" si="14"/>
        <v>44965</v>
      </c>
      <c r="W88" s="20">
        <f t="shared" si="15"/>
        <v>45077</v>
      </c>
      <c r="Y88" s="15" t="str">
        <f t="shared" si="16"/>
        <v>MC</v>
      </c>
      <c r="Z88" s="15" t="str">
        <f t="shared" si="17"/>
        <v>MARK CARTER</v>
      </c>
      <c r="AA88" s="15" t="str">
        <f t="shared" si="18"/>
        <v>mark carter</v>
      </c>
      <c r="AB88" s="40"/>
      <c r="AR88" s="15" t="str">
        <v>South</v>
      </c>
      <c r="AS88" s="15">
        <v>89.99</v>
      </c>
    </row>
    <row r="89" spans="1:45" ht="16.5" customHeight="1" x14ac:dyDescent="0.35">
      <c r="A89" s="31" t="s">
        <v>216</v>
      </c>
      <c r="B89" s="22">
        <v>45517</v>
      </c>
      <c r="C89" s="22" t="s">
        <v>182</v>
      </c>
      <c r="D89" s="22" t="s">
        <v>183</v>
      </c>
      <c r="E89" s="22" t="s">
        <v>52</v>
      </c>
      <c r="F89" s="22" t="s">
        <v>53</v>
      </c>
      <c r="G89" s="22" t="s">
        <v>19</v>
      </c>
      <c r="H89" s="22">
        <v>4</v>
      </c>
      <c r="I89" s="22" t="s">
        <v>35</v>
      </c>
      <c r="J89" s="22">
        <v>149.99</v>
      </c>
      <c r="K89" s="22" t="s">
        <v>57</v>
      </c>
      <c r="L89" s="22" t="s">
        <v>27</v>
      </c>
      <c r="M89" s="22">
        <v>599.96</v>
      </c>
      <c r="N89" s="32">
        <v>44820</v>
      </c>
      <c r="O89" s="41"/>
      <c r="S89" s="27">
        <f t="shared" ca="1" si="12"/>
        <v>45985</v>
      </c>
      <c r="T89" s="19">
        <f t="shared" ca="1" si="13"/>
        <v>45985.990154629631</v>
      </c>
      <c r="U89" s="15">
        <f t="shared" ca="1" si="19"/>
        <v>3</v>
      </c>
      <c r="V89" s="20">
        <f t="shared" ca="1" si="14"/>
        <v>44820</v>
      </c>
      <c r="W89" s="20">
        <f t="shared" si="15"/>
        <v>44926</v>
      </c>
      <c r="Y89" s="15" t="str">
        <f t="shared" si="16"/>
        <v>DM</v>
      </c>
      <c r="Z89" s="15" t="str">
        <f t="shared" si="17"/>
        <v>DAVID MARTINEZ</v>
      </c>
      <c r="AA89" s="15" t="str">
        <f t="shared" si="18"/>
        <v>david martinez</v>
      </c>
      <c r="AB89" s="40"/>
      <c r="AR89" s="15" t="str">
        <v>North</v>
      </c>
      <c r="AS89" s="15">
        <v>149.99</v>
      </c>
    </row>
    <row r="90" spans="1:45" ht="16.5" customHeight="1" x14ac:dyDescent="0.35">
      <c r="A90" s="31" t="s">
        <v>217</v>
      </c>
      <c r="B90" s="22">
        <v>45517</v>
      </c>
      <c r="C90" s="22" t="s">
        <v>185</v>
      </c>
      <c r="D90" s="22" t="s">
        <v>186</v>
      </c>
      <c r="E90" s="22" t="s">
        <v>17</v>
      </c>
      <c r="F90" s="22" t="s">
        <v>18</v>
      </c>
      <c r="G90" s="22" t="s">
        <v>19</v>
      </c>
      <c r="H90" s="22">
        <v>5</v>
      </c>
      <c r="I90" s="22" t="s">
        <v>63</v>
      </c>
      <c r="J90" s="22">
        <v>249.99</v>
      </c>
      <c r="K90" s="22" t="s">
        <v>34</v>
      </c>
      <c r="L90" s="22" t="s">
        <v>27</v>
      </c>
      <c r="M90" s="22">
        <v>1249.95</v>
      </c>
      <c r="N90" s="32">
        <v>44782</v>
      </c>
      <c r="O90" s="41"/>
      <c r="S90" s="26">
        <f t="shared" ca="1" si="12"/>
        <v>45985</v>
      </c>
      <c r="T90" s="19">
        <f t="shared" ca="1" si="13"/>
        <v>45985.990154513885</v>
      </c>
      <c r="U90" s="15">
        <f t="shared" ca="1" si="19"/>
        <v>3</v>
      </c>
      <c r="V90" s="20">
        <f t="shared" ca="1" si="14"/>
        <v>44782</v>
      </c>
      <c r="W90" s="20">
        <f t="shared" si="15"/>
        <v>44895</v>
      </c>
      <c r="Y90" s="15" t="str">
        <f t="shared" si="16"/>
        <v>MW</v>
      </c>
      <c r="Z90" s="15" t="str">
        <f t="shared" si="17"/>
        <v>MARGARET WRIGHT</v>
      </c>
      <c r="AA90" s="15" t="str">
        <f t="shared" si="18"/>
        <v>margaret wright</v>
      </c>
      <c r="AB90" s="40"/>
      <c r="AR90" s="15" t="str">
        <v>South</v>
      </c>
      <c r="AS90" s="15">
        <v>299.99</v>
      </c>
    </row>
    <row r="91" spans="1:45" ht="16.5" customHeight="1" x14ac:dyDescent="0.35">
      <c r="A91" s="31" t="s">
        <v>218</v>
      </c>
      <c r="B91" s="22">
        <v>45517</v>
      </c>
      <c r="C91" s="22" t="s">
        <v>65</v>
      </c>
      <c r="D91" s="22" t="s">
        <v>66</v>
      </c>
      <c r="E91" s="22" t="s">
        <v>17</v>
      </c>
      <c r="F91" s="22" t="s">
        <v>18</v>
      </c>
      <c r="G91" s="22" t="s">
        <v>19</v>
      </c>
      <c r="H91" s="22">
        <v>3</v>
      </c>
      <c r="I91" s="22" t="s">
        <v>40</v>
      </c>
      <c r="J91" s="22">
        <v>249.99</v>
      </c>
      <c r="K91" s="22" t="s">
        <v>34</v>
      </c>
      <c r="L91" s="22" t="s">
        <v>27</v>
      </c>
      <c r="M91" s="22">
        <v>749.97</v>
      </c>
      <c r="N91" s="32">
        <v>44465</v>
      </c>
      <c r="O91" s="41"/>
      <c r="S91" s="27">
        <f t="shared" ca="1" si="12"/>
        <v>45985</v>
      </c>
      <c r="T91" s="19">
        <f t="shared" ca="1" si="13"/>
        <v>45985.990154629631</v>
      </c>
      <c r="U91" s="15">
        <f t="shared" ca="1" si="19"/>
        <v>4</v>
      </c>
      <c r="V91" s="20">
        <f t="shared" ca="1" si="14"/>
        <v>44465</v>
      </c>
      <c r="W91" s="20">
        <f t="shared" si="15"/>
        <v>44561</v>
      </c>
      <c r="Y91" s="15" t="str">
        <f t="shared" si="16"/>
        <v>KH</v>
      </c>
      <c r="Z91" s="15" t="str">
        <f t="shared" si="17"/>
        <v>KAREN HILL</v>
      </c>
      <c r="AA91" s="15" t="str">
        <f t="shared" si="18"/>
        <v>karen hill</v>
      </c>
      <c r="AB91" s="40"/>
      <c r="AR91" s="15" t="str">
        <v>South</v>
      </c>
      <c r="AS91" s="15">
        <v>149.99</v>
      </c>
    </row>
    <row r="92" spans="1:45" ht="16.5" customHeight="1" x14ac:dyDescent="0.35">
      <c r="A92" s="31" t="s">
        <v>219</v>
      </c>
      <c r="B92" s="22">
        <v>45517</v>
      </c>
      <c r="C92" s="22" t="s">
        <v>38</v>
      </c>
      <c r="D92" s="22" t="s">
        <v>39</v>
      </c>
      <c r="E92" s="22" t="s">
        <v>126</v>
      </c>
      <c r="F92" s="22" t="s">
        <v>127</v>
      </c>
      <c r="G92" s="22" t="s">
        <v>46</v>
      </c>
      <c r="H92" s="22">
        <v>4</v>
      </c>
      <c r="I92" s="22" t="s">
        <v>40</v>
      </c>
      <c r="J92" s="22">
        <v>199.99</v>
      </c>
      <c r="K92" s="22" t="s">
        <v>20</v>
      </c>
      <c r="L92" s="22" t="s">
        <v>36</v>
      </c>
      <c r="M92" s="22">
        <v>799.96</v>
      </c>
      <c r="N92" s="32">
        <v>44458</v>
      </c>
      <c r="O92" s="41"/>
      <c r="S92" s="26">
        <f t="shared" ca="1" si="12"/>
        <v>45985</v>
      </c>
      <c r="T92" s="19">
        <f t="shared" ca="1" si="13"/>
        <v>45985.990154513885</v>
      </c>
      <c r="U92" s="15">
        <f t="shared" ca="1" si="19"/>
        <v>4</v>
      </c>
      <c r="V92" s="20">
        <f t="shared" ca="1" si="14"/>
        <v>44458</v>
      </c>
      <c r="W92" s="20">
        <f t="shared" si="15"/>
        <v>44561</v>
      </c>
      <c r="Y92" s="15" t="str">
        <f t="shared" si="16"/>
        <v>KB</v>
      </c>
      <c r="Z92" s="15" t="str">
        <f t="shared" si="17"/>
        <v>KATHLEEN BENNETT</v>
      </c>
      <c r="AA92" s="15" t="str">
        <f t="shared" si="18"/>
        <v>kathleen bennett</v>
      </c>
      <c r="AB92" s="40"/>
      <c r="AR92" s="15" t="str">
        <v>South</v>
      </c>
      <c r="AS92" s="15">
        <v>699.99</v>
      </c>
    </row>
    <row r="93" spans="1:45" ht="16.5" customHeight="1" x14ac:dyDescent="0.35">
      <c r="A93" s="31" t="s">
        <v>220</v>
      </c>
      <c r="B93" s="22">
        <v>45519</v>
      </c>
      <c r="C93" s="22" t="s">
        <v>158</v>
      </c>
      <c r="D93" s="22" t="s">
        <v>159</v>
      </c>
      <c r="E93" s="22" t="s">
        <v>126</v>
      </c>
      <c r="F93" s="22" t="s">
        <v>127</v>
      </c>
      <c r="G93" s="22" t="s">
        <v>46</v>
      </c>
      <c r="H93" s="22">
        <v>5</v>
      </c>
      <c r="I93" s="22" t="s">
        <v>40</v>
      </c>
      <c r="J93" s="22">
        <v>199.99</v>
      </c>
      <c r="K93" s="22" t="s">
        <v>20</v>
      </c>
      <c r="L93" s="22" t="s">
        <v>27</v>
      </c>
      <c r="M93" s="22">
        <v>999.95</v>
      </c>
      <c r="N93" s="32">
        <v>44991</v>
      </c>
      <c r="O93" s="41"/>
      <c r="S93" s="27">
        <f t="shared" ca="1" si="12"/>
        <v>45985</v>
      </c>
      <c r="T93" s="19">
        <f t="shared" ca="1" si="13"/>
        <v>45985.990154629631</v>
      </c>
      <c r="U93" s="15">
        <f t="shared" ca="1" si="19"/>
        <v>2</v>
      </c>
      <c r="V93" s="20">
        <f t="shared" ca="1" si="14"/>
        <v>44991</v>
      </c>
      <c r="W93" s="20">
        <f t="shared" si="15"/>
        <v>45107</v>
      </c>
      <c r="Y93" s="15" t="str">
        <f t="shared" si="16"/>
        <v>BC</v>
      </c>
      <c r="Z93" s="15" t="str">
        <f t="shared" si="17"/>
        <v>BETTY CAMPBELL</v>
      </c>
      <c r="AA93" s="15" t="str">
        <f t="shared" si="18"/>
        <v>betty campbell</v>
      </c>
      <c r="AB93" s="40"/>
      <c r="AR93" s="15" t="str">
        <v>North</v>
      </c>
      <c r="AS93" s="15">
        <v>699.99</v>
      </c>
    </row>
    <row r="94" spans="1:45" ht="16.5" customHeight="1" x14ac:dyDescent="0.35">
      <c r="A94" s="31" t="s">
        <v>221</v>
      </c>
      <c r="B94" s="22">
        <v>45522</v>
      </c>
      <c r="C94" s="22" t="s">
        <v>86</v>
      </c>
      <c r="D94" s="22" t="s">
        <v>87</v>
      </c>
      <c r="E94" s="22" t="s">
        <v>117</v>
      </c>
      <c r="F94" s="22" t="s">
        <v>118</v>
      </c>
      <c r="G94" s="22" t="s">
        <v>19</v>
      </c>
      <c r="H94" s="22">
        <v>2</v>
      </c>
      <c r="I94" s="22" t="s">
        <v>63</v>
      </c>
      <c r="J94" s="22">
        <v>89.99</v>
      </c>
      <c r="K94" s="22" t="s">
        <v>20</v>
      </c>
      <c r="L94" s="22" t="s">
        <v>27</v>
      </c>
      <c r="M94" s="22">
        <v>179.98</v>
      </c>
      <c r="N94" s="32">
        <v>44972</v>
      </c>
      <c r="O94" s="41"/>
      <c r="S94" s="26">
        <f t="shared" ca="1" si="12"/>
        <v>45985</v>
      </c>
      <c r="T94" s="19">
        <f t="shared" ca="1" si="13"/>
        <v>45985.990154513885</v>
      </c>
      <c r="U94" s="15">
        <f t="shared" ca="1" si="19"/>
        <v>2</v>
      </c>
      <c r="V94" s="20">
        <f t="shared" ca="1" si="14"/>
        <v>44972</v>
      </c>
      <c r="W94" s="20">
        <f t="shared" si="15"/>
        <v>45077</v>
      </c>
      <c r="Y94" s="15" t="str">
        <f t="shared" si="16"/>
        <v>MC</v>
      </c>
      <c r="Z94" s="15" t="str">
        <f t="shared" si="17"/>
        <v>MARK CARTER</v>
      </c>
      <c r="AA94" s="15" t="str">
        <f t="shared" si="18"/>
        <v>mark carter</v>
      </c>
      <c r="AB94" s="40"/>
      <c r="AR94" s="15" t="str">
        <v>North</v>
      </c>
      <c r="AS94" s="15">
        <v>149.99</v>
      </c>
    </row>
    <row r="95" spans="1:45" ht="16.5" customHeight="1" x14ac:dyDescent="0.35">
      <c r="A95" s="31" t="s">
        <v>222</v>
      </c>
      <c r="B95" s="22">
        <v>45523</v>
      </c>
      <c r="C95" s="22" t="s">
        <v>196</v>
      </c>
      <c r="D95" s="22" t="s">
        <v>197</v>
      </c>
      <c r="E95" s="22" t="s">
        <v>61</v>
      </c>
      <c r="F95" s="22" t="s">
        <v>62</v>
      </c>
      <c r="G95" s="22" t="s">
        <v>19</v>
      </c>
      <c r="H95" s="22">
        <v>5</v>
      </c>
      <c r="I95" s="22" t="s">
        <v>63</v>
      </c>
      <c r="J95" s="22">
        <v>899.99</v>
      </c>
      <c r="K95" s="22" t="s">
        <v>57</v>
      </c>
      <c r="L95" s="22" t="s">
        <v>22</v>
      </c>
      <c r="M95" s="22">
        <v>4499.95</v>
      </c>
      <c r="N95" s="32">
        <v>44526</v>
      </c>
      <c r="O95" s="41"/>
      <c r="S95" s="27">
        <f t="shared" ca="1" si="12"/>
        <v>45985</v>
      </c>
      <c r="T95" s="19">
        <f t="shared" ca="1" si="13"/>
        <v>45985.990154629631</v>
      </c>
      <c r="U95" s="15">
        <f t="shared" ca="1" si="19"/>
        <v>3</v>
      </c>
      <c r="V95" s="20">
        <f t="shared" ca="1" si="14"/>
        <v>44526</v>
      </c>
      <c r="W95" s="20">
        <f t="shared" si="15"/>
        <v>44620</v>
      </c>
      <c r="Y95" s="15" t="str">
        <f t="shared" si="16"/>
        <v>GM</v>
      </c>
      <c r="Z95" s="15" t="str">
        <f t="shared" si="17"/>
        <v>GERALD MURPHY</v>
      </c>
      <c r="AA95" s="15" t="str">
        <f t="shared" si="18"/>
        <v>gerald murphy</v>
      </c>
      <c r="AB95" s="40"/>
      <c r="AR95" s="15" t="str">
        <v>South</v>
      </c>
      <c r="AS95" s="15">
        <v>299.99</v>
      </c>
    </row>
    <row r="96" spans="1:45" ht="16.5" customHeight="1" x14ac:dyDescent="0.35">
      <c r="A96" s="31" t="s">
        <v>223</v>
      </c>
      <c r="B96" s="22">
        <v>45523</v>
      </c>
      <c r="C96" s="22" t="s">
        <v>108</v>
      </c>
      <c r="D96" s="22" t="s">
        <v>109</v>
      </c>
      <c r="E96" s="22" t="s">
        <v>52</v>
      </c>
      <c r="F96" s="22" t="s">
        <v>53</v>
      </c>
      <c r="G96" s="22" t="s">
        <v>19</v>
      </c>
      <c r="H96" s="22">
        <v>3</v>
      </c>
      <c r="I96" s="22" t="s">
        <v>63</v>
      </c>
      <c r="J96" s="22">
        <v>149.99</v>
      </c>
      <c r="K96" s="22" t="s">
        <v>34</v>
      </c>
      <c r="L96" s="22" t="s">
        <v>22</v>
      </c>
      <c r="M96" s="22">
        <v>449.97</v>
      </c>
      <c r="N96" s="32">
        <v>44574</v>
      </c>
      <c r="O96" s="41"/>
      <c r="S96" s="26">
        <f t="shared" ca="1" si="12"/>
        <v>45985</v>
      </c>
      <c r="T96" s="19">
        <f t="shared" ca="1" si="13"/>
        <v>45985.990154513885</v>
      </c>
      <c r="U96" s="15">
        <f t="shared" ca="1" si="19"/>
        <v>3</v>
      </c>
      <c r="V96" s="20">
        <f t="shared" ca="1" si="14"/>
        <v>44574</v>
      </c>
      <c r="W96" s="20">
        <f t="shared" si="15"/>
        <v>44681</v>
      </c>
      <c r="Y96" s="15" t="str">
        <f t="shared" si="16"/>
        <v>NC</v>
      </c>
      <c r="Z96" s="15" t="str">
        <f t="shared" si="17"/>
        <v>NANCY COLLINS</v>
      </c>
      <c r="AA96" s="15" t="str">
        <f t="shared" si="18"/>
        <v>nancy collins</v>
      </c>
      <c r="AB96" s="40"/>
      <c r="AR96" s="15" t="str">
        <v>North</v>
      </c>
      <c r="AS96" s="15">
        <v>249.99</v>
      </c>
    </row>
    <row r="97" spans="1:45" ht="16.5" customHeight="1" x14ac:dyDescent="0.35">
      <c r="A97" s="31" t="s">
        <v>224</v>
      </c>
      <c r="B97" s="22">
        <v>45526</v>
      </c>
      <c r="C97" s="22" t="s">
        <v>102</v>
      </c>
      <c r="D97" s="22" t="s">
        <v>103</v>
      </c>
      <c r="E97" s="22" t="s">
        <v>44</v>
      </c>
      <c r="F97" s="22" t="s">
        <v>45</v>
      </c>
      <c r="G97" s="22" t="s">
        <v>46</v>
      </c>
      <c r="H97" s="22">
        <v>5</v>
      </c>
      <c r="I97" s="22" t="s">
        <v>21</v>
      </c>
      <c r="J97" s="22">
        <v>149.99</v>
      </c>
      <c r="K97" s="22" t="s">
        <v>26</v>
      </c>
      <c r="L97" s="22" t="s">
        <v>22</v>
      </c>
      <c r="M97" s="22">
        <v>749.95</v>
      </c>
      <c r="N97" s="32">
        <v>45310</v>
      </c>
      <c r="O97" s="41"/>
      <c r="S97" s="27">
        <f t="shared" ca="1" si="12"/>
        <v>45985</v>
      </c>
      <c r="T97" s="19">
        <f t="shared" ca="1" si="13"/>
        <v>45985.990154629631</v>
      </c>
      <c r="U97" s="15">
        <f t="shared" ca="1" si="19"/>
        <v>1</v>
      </c>
      <c r="V97" s="20">
        <f t="shared" ca="1" si="14"/>
        <v>45310</v>
      </c>
      <c r="W97" s="20">
        <f t="shared" si="15"/>
        <v>45412</v>
      </c>
      <c r="Y97" s="15" t="str">
        <f t="shared" si="16"/>
        <v>CP</v>
      </c>
      <c r="Z97" s="15" t="str">
        <f t="shared" si="17"/>
        <v>CYNTHIA PRICE</v>
      </c>
      <c r="AA97" s="15" t="str">
        <f t="shared" si="18"/>
        <v>cynthia price</v>
      </c>
      <c r="AB97" s="40"/>
      <c r="AR97" s="15" t="str">
        <v>North</v>
      </c>
      <c r="AS97" s="15">
        <v>899.99</v>
      </c>
    </row>
    <row r="98" spans="1:45" ht="16.5" customHeight="1" x14ac:dyDescent="0.35">
      <c r="A98" s="31" t="s">
        <v>225</v>
      </c>
      <c r="B98" s="22">
        <v>45528</v>
      </c>
      <c r="C98" s="22" t="s">
        <v>226</v>
      </c>
      <c r="D98" s="22" t="s">
        <v>227</v>
      </c>
      <c r="E98" s="22" t="s">
        <v>114</v>
      </c>
      <c r="F98" s="22" t="s">
        <v>115</v>
      </c>
      <c r="G98" s="22" t="s">
        <v>33</v>
      </c>
      <c r="H98" s="22">
        <v>3</v>
      </c>
      <c r="I98" s="22" t="s">
        <v>21</v>
      </c>
      <c r="J98" s="22">
        <v>79.989999999999995</v>
      </c>
      <c r="K98" s="22" t="s">
        <v>20</v>
      </c>
      <c r="L98" s="22" t="s">
        <v>27</v>
      </c>
      <c r="M98" s="22">
        <v>239.97</v>
      </c>
      <c r="N98" s="32">
        <v>44779</v>
      </c>
      <c r="O98" s="41"/>
      <c r="S98" s="26">
        <f t="shared" ca="1" si="12"/>
        <v>45985</v>
      </c>
      <c r="T98" s="19">
        <f t="shared" ca="1" si="13"/>
        <v>45985.990154513885</v>
      </c>
      <c r="U98" s="15">
        <f t="shared" ca="1" si="19"/>
        <v>3</v>
      </c>
      <c r="V98" s="20">
        <f t="shared" ca="1" si="14"/>
        <v>44779</v>
      </c>
      <c r="W98" s="20">
        <f t="shared" si="15"/>
        <v>44895</v>
      </c>
      <c r="Y98" s="15" t="str">
        <f t="shared" si="16"/>
        <v>LR</v>
      </c>
      <c r="Z98" s="15" t="str">
        <f t="shared" si="17"/>
        <v>LAWRENCE REED</v>
      </c>
      <c r="AA98" s="15" t="str">
        <f t="shared" si="18"/>
        <v>lawrence reed</v>
      </c>
      <c r="AB98" s="40"/>
      <c r="AR98" s="15" t="str">
        <v>North</v>
      </c>
      <c r="AS98" s="15">
        <v>899.99</v>
      </c>
    </row>
    <row r="99" spans="1:45" ht="16.5" customHeight="1" x14ac:dyDescent="0.35">
      <c r="A99" s="31" t="s">
        <v>228</v>
      </c>
      <c r="B99" s="22">
        <v>45528</v>
      </c>
      <c r="C99" s="22" t="s">
        <v>144</v>
      </c>
      <c r="D99" s="22" t="s">
        <v>145</v>
      </c>
      <c r="E99" s="22" t="s">
        <v>17</v>
      </c>
      <c r="F99" s="22" t="s">
        <v>18</v>
      </c>
      <c r="G99" s="22" t="s">
        <v>19</v>
      </c>
      <c r="H99" s="22">
        <v>2</v>
      </c>
      <c r="I99" s="22" t="s">
        <v>35</v>
      </c>
      <c r="J99" s="22">
        <v>249.99</v>
      </c>
      <c r="K99" s="22" t="s">
        <v>20</v>
      </c>
      <c r="L99" s="22" t="s">
        <v>36</v>
      </c>
      <c r="M99" s="22">
        <v>499.98</v>
      </c>
      <c r="N99" s="32">
        <v>44572</v>
      </c>
      <c r="O99" s="41"/>
      <c r="S99" s="27">
        <f t="shared" ca="1" si="12"/>
        <v>45985</v>
      </c>
      <c r="T99" s="19">
        <f t="shared" ca="1" si="13"/>
        <v>45985.990154629631</v>
      </c>
      <c r="U99" s="15">
        <f t="shared" ca="1" si="19"/>
        <v>3</v>
      </c>
      <c r="V99" s="20">
        <f t="shared" ca="1" si="14"/>
        <v>44572</v>
      </c>
      <c r="W99" s="20">
        <f t="shared" si="15"/>
        <v>44681</v>
      </c>
      <c r="Y99" s="15" t="str">
        <f t="shared" si="16"/>
        <v>HM</v>
      </c>
      <c r="Z99" s="15" t="str">
        <f t="shared" si="17"/>
        <v>HARRY MORGAN</v>
      </c>
      <c r="AA99" s="15" t="str">
        <f t="shared" si="18"/>
        <v>harry morgan</v>
      </c>
      <c r="AB99" s="40"/>
      <c r="AR99" s="15" t="str">
        <v>South</v>
      </c>
      <c r="AS99" s="15">
        <v>89.99</v>
      </c>
    </row>
    <row r="100" spans="1:45" ht="16.5" customHeight="1" x14ac:dyDescent="0.35">
      <c r="A100" s="31" t="s">
        <v>229</v>
      </c>
      <c r="B100" s="22">
        <v>45532</v>
      </c>
      <c r="C100" s="22" t="s">
        <v>196</v>
      </c>
      <c r="D100" s="22" t="s">
        <v>197</v>
      </c>
      <c r="E100" s="22" t="s">
        <v>80</v>
      </c>
      <c r="F100" s="22" t="s">
        <v>81</v>
      </c>
      <c r="G100" s="22" t="s">
        <v>19</v>
      </c>
      <c r="H100" s="22">
        <v>1</v>
      </c>
      <c r="I100" s="22" t="s">
        <v>21</v>
      </c>
      <c r="J100" s="22">
        <v>699.99</v>
      </c>
      <c r="K100" s="22" t="s">
        <v>20</v>
      </c>
      <c r="L100" s="22" t="s">
        <v>27</v>
      </c>
      <c r="M100" s="22">
        <v>699.99</v>
      </c>
      <c r="N100" s="32">
        <v>44497</v>
      </c>
      <c r="O100" s="41"/>
      <c r="S100" s="26">
        <f t="shared" ca="1" si="12"/>
        <v>45985</v>
      </c>
      <c r="T100" s="19">
        <f t="shared" ca="1" si="13"/>
        <v>45985.990154513885</v>
      </c>
      <c r="U100" s="15">
        <f t="shared" ca="1" si="19"/>
        <v>4</v>
      </c>
      <c r="V100" s="20">
        <f t="shared" ca="1" si="14"/>
        <v>44497</v>
      </c>
      <c r="W100" s="20">
        <f t="shared" si="15"/>
        <v>44592</v>
      </c>
      <c r="Y100" s="15" t="str">
        <f t="shared" si="16"/>
        <v>GM</v>
      </c>
      <c r="Z100" s="15" t="str">
        <f t="shared" si="17"/>
        <v>GERALD MURPHY</v>
      </c>
      <c r="AA100" s="15" t="str">
        <f t="shared" si="18"/>
        <v>gerald murphy</v>
      </c>
      <c r="AB100" s="40"/>
      <c r="AR100" s="15" t="str">
        <v>North</v>
      </c>
      <c r="AS100" s="15">
        <v>699.99</v>
      </c>
    </row>
    <row r="101" spans="1:45" ht="16.5" customHeight="1" x14ac:dyDescent="0.35">
      <c r="A101" s="31" t="s">
        <v>230</v>
      </c>
      <c r="B101" s="22">
        <v>45532</v>
      </c>
      <c r="C101" s="22" t="s">
        <v>231</v>
      </c>
      <c r="D101" s="22" t="s">
        <v>232</v>
      </c>
      <c r="E101" s="22" t="s">
        <v>52</v>
      </c>
      <c r="F101" s="22" t="s">
        <v>53</v>
      </c>
      <c r="G101" s="22" t="s">
        <v>19</v>
      </c>
      <c r="H101" s="22">
        <v>3</v>
      </c>
      <c r="I101" s="22" t="s">
        <v>50</v>
      </c>
      <c r="J101" s="22">
        <v>149.99</v>
      </c>
      <c r="K101" s="22" t="s">
        <v>20</v>
      </c>
      <c r="L101" s="22" t="s">
        <v>27</v>
      </c>
      <c r="M101" s="22">
        <v>449.97</v>
      </c>
      <c r="N101" s="32">
        <v>45212</v>
      </c>
      <c r="O101" s="41"/>
      <c r="S101" s="27">
        <f t="shared" ca="1" si="12"/>
        <v>45985</v>
      </c>
      <c r="T101" s="19">
        <f t="shared" ca="1" si="13"/>
        <v>45985.990154629631</v>
      </c>
      <c r="U101" s="15">
        <f t="shared" ca="1" si="19"/>
        <v>2</v>
      </c>
      <c r="V101" s="20">
        <f t="shared" ca="1" si="14"/>
        <v>45212</v>
      </c>
      <c r="W101" s="20">
        <f t="shared" si="15"/>
        <v>45322</v>
      </c>
      <c r="Y101" s="15" t="str">
        <f t="shared" si="16"/>
        <v>CE</v>
      </c>
      <c r="Z101" s="15" t="str">
        <f t="shared" si="17"/>
        <v>CAROL EVANS</v>
      </c>
      <c r="AA101" s="15" t="str">
        <f t="shared" si="18"/>
        <v>carol evans</v>
      </c>
      <c r="AB101" s="40"/>
      <c r="AR101" s="15" t="str">
        <v>North</v>
      </c>
      <c r="AS101" s="15">
        <v>79.989999999999995</v>
      </c>
    </row>
    <row r="102" spans="1:45" ht="16.5" customHeight="1" x14ac:dyDescent="0.35">
      <c r="A102" s="31" t="s">
        <v>233</v>
      </c>
      <c r="B102" s="22">
        <v>45534</v>
      </c>
      <c r="C102" s="22" t="s">
        <v>234</v>
      </c>
      <c r="D102" s="22" t="s">
        <v>235</v>
      </c>
      <c r="E102" s="22" t="s">
        <v>80</v>
      </c>
      <c r="F102" s="22" t="s">
        <v>81</v>
      </c>
      <c r="G102" s="22" t="s">
        <v>19</v>
      </c>
      <c r="H102" s="22">
        <v>2</v>
      </c>
      <c r="I102" s="22" t="s">
        <v>40</v>
      </c>
      <c r="J102" s="22">
        <v>699.99</v>
      </c>
      <c r="K102" s="22" t="s">
        <v>26</v>
      </c>
      <c r="L102" s="22" t="s">
        <v>27</v>
      </c>
      <c r="M102" s="22">
        <v>1399.98</v>
      </c>
      <c r="N102" s="32">
        <v>44421</v>
      </c>
      <c r="O102" s="41"/>
      <c r="S102" s="26">
        <f t="shared" ca="1" si="12"/>
        <v>45985</v>
      </c>
      <c r="T102" s="19">
        <f t="shared" ca="1" si="13"/>
        <v>45985.990154513885</v>
      </c>
      <c r="U102" s="15">
        <f t="shared" ca="1" si="19"/>
        <v>4</v>
      </c>
      <c r="V102" s="20">
        <f t="shared" ca="1" si="14"/>
        <v>44421</v>
      </c>
      <c r="W102" s="20">
        <f t="shared" si="15"/>
        <v>44530</v>
      </c>
      <c r="Y102" s="15" t="str">
        <f t="shared" si="16"/>
        <v>SP</v>
      </c>
      <c r="Z102" s="15" t="str">
        <f t="shared" si="17"/>
        <v>SANDRA PHILLIPS</v>
      </c>
      <c r="AA102" s="15" t="str">
        <f t="shared" si="18"/>
        <v>sandra phillips</v>
      </c>
      <c r="AB102" s="40"/>
      <c r="AR102" s="15" t="str">
        <v>North</v>
      </c>
      <c r="AS102" s="15">
        <v>699.99</v>
      </c>
    </row>
    <row r="103" spans="1:45" ht="16.5" customHeight="1" x14ac:dyDescent="0.35">
      <c r="A103" s="31" t="s">
        <v>236</v>
      </c>
      <c r="B103" s="22">
        <v>45537</v>
      </c>
      <c r="C103" s="22" t="s">
        <v>231</v>
      </c>
      <c r="D103" s="22" t="s">
        <v>232</v>
      </c>
      <c r="E103" s="22" t="s">
        <v>17</v>
      </c>
      <c r="F103" s="22" t="s">
        <v>18</v>
      </c>
      <c r="G103" s="22" t="s">
        <v>19</v>
      </c>
      <c r="H103" s="22">
        <v>1</v>
      </c>
      <c r="I103" s="22" t="s">
        <v>50</v>
      </c>
      <c r="J103" s="22">
        <v>249.99</v>
      </c>
      <c r="K103" s="22" t="s">
        <v>26</v>
      </c>
      <c r="L103" s="22" t="s">
        <v>27</v>
      </c>
      <c r="M103" s="22">
        <v>249.99</v>
      </c>
      <c r="N103" s="32">
        <v>44685</v>
      </c>
      <c r="O103" s="41"/>
      <c r="S103" s="27">
        <f t="shared" ca="1" si="12"/>
        <v>45985</v>
      </c>
      <c r="T103" s="19">
        <f t="shared" ca="1" si="13"/>
        <v>45985.990154629631</v>
      </c>
      <c r="U103" s="15">
        <f t="shared" ca="1" si="19"/>
        <v>3</v>
      </c>
      <c r="V103" s="20">
        <f t="shared" ca="1" si="14"/>
        <v>44685</v>
      </c>
      <c r="W103" s="20">
        <f t="shared" si="15"/>
        <v>44804</v>
      </c>
      <c r="Y103" s="15" t="str">
        <f t="shared" si="16"/>
        <v>CE</v>
      </c>
      <c r="Z103" s="15" t="str">
        <f t="shared" si="17"/>
        <v>CAROL EVANS</v>
      </c>
      <c r="AA103" s="15" t="str">
        <f t="shared" si="18"/>
        <v>carol evans</v>
      </c>
      <c r="AB103" s="40"/>
      <c r="AR103" s="15" t="str">
        <v>North</v>
      </c>
      <c r="AS103" s="15">
        <v>89.99</v>
      </c>
    </row>
    <row r="104" spans="1:45" ht="16.5" customHeight="1" x14ac:dyDescent="0.35">
      <c r="A104" s="31" t="s">
        <v>237</v>
      </c>
      <c r="B104" s="22">
        <v>45537</v>
      </c>
      <c r="C104" s="22" t="s">
        <v>15</v>
      </c>
      <c r="D104" s="22" t="s">
        <v>16</v>
      </c>
      <c r="E104" s="22" t="s">
        <v>17</v>
      </c>
      <c r="F104" s="22" t="s">
        <v>18</v>
      </c>
      <c r="G104" s="22" t="s">
        <v>19</v>
      </c>
      <c r="H104" s="22">
        <v>1</v>
      </c>
      <c r="I104" s="22" t="s">
        <v>40</v>
      </c>
      <c r="J104" s="22">
        <v>249.99</v>
      </c>
      <c r="K104" s="22" t="s">
        <v>57</v>
      </c>
      <c r="L104" s="22" t="s">
        <v>27</v>
      </c>
      <c r="M104" s="22">
        <v>249.99</v>
      </c>
      <c r="N104" s="32">
        <v>45332</v>
      </c>
      <c r="O104" s="41"/>
      <c r="S104" s="26">
        <f t="shared" ca="1" si="12"/>
        <v>45985</v>
      </c>
      <c r="T104" s="19">
        <f t="shared" ca="1" si="13"/>
        <v>45985.990154513885</v>
      </c>
      <c r="U104" s="15">
        <f t="shared" ca="1" si="19"/>
        <v>1</v>
      </c>
      <c r="V104" s="20">
        <f t="shared" ca="1" si="14"/>
        <v>45332</v>
      </c>
      <c r="W104" s="20">
        <f t="shared" si="15"/>
        <v>45443</v>
      </c>
      <c r="Y104" s="15" t="str">
        <f t="shared" si="16"/>
        <v>PB</v>
      </c>
      <c r="Z104" s="15" t="str">
        <f t="shared" si="17"/>
        <v>PAUL BAKER</v>
      </c>
      <c r="AA104" s="15" t="str">
        <f t="shared" si="18"/>
        <v>paul baker</v>
      </c>
      <c r="AB104" s="40"/>
    </row>
    <row r="105" spans="1:45" ht="16.5" customHeight="1" x14ac:dyDescent="0.35">
      <c r="A105" s="31" t="s">
        <v>238</v>
      </c>
      <c r="B105" s="22">
        <v>45538</v>
      </c>
      <c r="C105" s="22" t="s">
        <v>226</v>
      </c>
      <c r="D105" s="22" t="s">
        <v>227</v>
      </c>
      <c r="E105" s="22" t="s">
        <v>80</v>
      </c>
      <c r="F105" s="22" t="s">
        <v>81</v>
      </c>
      <c r="G105" s="22" t="s">
        <v>19</v>
      </c>
      <c r="H105" s="22">
        <v>2</v>
      </c>
      <c r="I105" s="22" t="s">
        <v>21</v>
      </c>
      <c r="J105" s="22">
        <v>699.99</v>
      </c>
      <c r="K105" s="22" t="s">
        <v>57</v>
      </c>
      <c r="L105" s="22" t="s">
        <v>27</v>
      </c>
      <c r="M105" s="22">
        <v>1399.98</v>
      </c>
      <c r="N105" s="32">
        <v>44870</v>
      </c>
      <c r="O105" s="41"/>
      <c r="S105" s="27">
        <f t="shared" ca="1" si="12"/>
        <v>45985</v>
      </c>
      <c r="T105" s="19">
        <f t="shared" ca="1" si="13"/>
        <v>45985.990154629631</v>
      </c>
      <c r="U105" s="15">
        <f t="shared" ca="1" si="19"/>
        <v>3</v>
      </c>
      <c r="V105" s="20">
        <f t="shared" ca="1" si="14"/>
        <v>44870</v>
      </c>
      <c r="W105" s="20">
        <f t="shared" si="15"/>
        <v>44985</v>
      </c>
      <c r="Y105" s="15" t="str">
        <f t="shared" si="16"/>
        <v>LR</v>
      </c>
      <c r="Z105" s="15" t="str">
        <f t="shared" si="17"/>
        <v>LAWRENCE REED</v>
      </c>
      <c r="AA105" s="15" t="str">
        <f t="shared" si="18"/>
        <v>lawrence reed</v>
      </c>
      <c r="AB105" s="40"/>
    </row>
    <row r="106" spans="1:45" ht="16.5" customHeight="1" x14ac:dyDescent="0.35">
      <c r="A106" s="31" t="s">
        <v>239</v>
      </c>
      <c r="B106" s="22">
        <v>45541</v>
      </c>
      <c r="C106" s="22" t="s">
        <v>138</v>
      </c>
      <c r="D106" s="22" t="s">
        <v>139</v>
      </c>
      <c r="E106" s="22" t="s">
        <v>31</v>
      </c>
      <c r="F106" s="22" t="s">
        <v>32</v>
      </c>
      <c r="G106" s="22" t="s">
        <v>33</v>
      </c>
      <c r="H106" s="22">
        <v>3</v>
      </c>
      <c r="I106" s="22" t="s">
        <v>21</v>
      </c>
      <c r="J106" s="22">
        <v>59.99</v>
      </c>
      <c r="K106" s="22" t="s">
        <v>26</v>
      </c>
      <c r="L106" s="22" t="s">
        <v>27</v>
      </c>
      <c r="M106" s="22">
        <v>179.97</v>
      </c>
      <c r="N106" s="32">
        <v>44717</v>
      </c>
      <c r="O106" s="41"/>
      <c r="S106" s="26">
        <f t="shared" ca="1" si="12"/>
        <v>45985</v>
      </c>
      <c r="T106" s="19">
        <f t="shared" ca="1" si="13"/>
        <v>45985.990154513885</v>
      </c>
      <c r="U106" s="15">
        <f t="shared" ca="1" si="19"/>
        <v>3</v>
      </c>
      <c r="V106" s="20">
        <f t="shared" ca="1" si="14"/>
        <v>44717</v>
      </c>
      <c r="W106" s="20">
        <f t="shared" si="15"/>
        <v>44834</v>
      </c>
      <c r="Y106" s="15" t="str">
        <f t="shared" si="16"/>
        <v>ST</v>
      </c>
      <c r="Z106" s="15" t="str">
        <f t="shared" si="17"/>
        <v>STEVEN TURNER</v>
      </c>
      <c r="AA106" s="15" t="str">
        <f t="shared" si="18"/>
        <v>steven turner</v>
      </c>
      <c r="AB106" s="40"/>
    </row>
    <row r="107" spans="1:45" ht="16.5" customHeight="1" x14ac:dyDescent="0.35">
      <c r="A107" s="31" t="s">
        <v>240</v>
      </c>
      <c r="B107" s="22">
        <v>45544</v>
      </c>
      <c r="C107" s="22" t="s">
        <v>132</v>
      </c>
      <c r="D107" s="22" t="s">
        <v>133</v>
      </c>
      <c r="E107" s="22" t="s">
        <v>31</v>
      </c>
      <c r="F107" s="22" t="s">
        <v>32</v>
      </c>
      <c r="G107" s="22" t="s">
        <v>33</v>
      </c>
      <c r="H107" s="22">
        <v>3</v>
      </c>
      <c r="I107" s="22" t="s">
        <v>63</v>
      </c>
      <c r="J107" s="22">
        <v>59.99</v>
      </c>
      <c r="K107" s="22" t="s">
        <v>34</v>
      </c>
      <c r="L107" s="22" t="s">
        <v>36</v>
      </c>
      <c r="M107" s="22">
        <v>179.97</v>
      </c>
      <c r="N107" s="32">
        <v>44748</v>
      </c>
      <c r="O107" s="41"/>
      <c r="S107" s="27">
        <f t="shared" ca="1" si="12"/>
        <v>45985</v>
      </c>
      <c r="T107" s="19">
        <f t="shared" ca="1" si="13"/>
        <v>45985.990154629631</v>
      </c>
      <c r="U107" s="15">
        <f t="shared" ca="1" si="19"/>
        <v>3</v>
      </c>
      <c r="V107" s="20">
        <f t="shared" ca="1" si="14"/>
        <v>44748</v>
      </c>
      <c r="W107" s="20">
        <f t="shared" si="15"/>
        <v>44865</v>
      </c>
      <c r="Y107" s="15" t="str">
        <f t="shared" si="16"/>
        <v>EW</v>
      </c>
      <c r="Z107" s="15" t="str">
        <f t="shared" si="17"/>
        <v>EMMA WILSON</v>
      </c>
      <c r="AA107" s="15" t="str">
        <f t="shared" si="18"/>
        <v>emma wilson</v>
      </c>
      <c r="AB107" s="40"/>
    </row>
    <row r="108" spans="1:45" ht="16.5" customHeight="1" x14ac:dyDescent="0.35">
      <c r="A108" s="31" t="s">
        <v>241</v>
      </c>
      <c r="B108" s="22">
        <v>45544</v>
      </c>
      <c r="C108" s="22" t="s">
        <v>141</v>
      </c>
      <c r="D108" s="22" t="s">
        <v>142</v>
      </c>
      <c r="E108" s="22" t="s">
        <v>114</v>
      </c>
      <c r="F108" s="22" t="s">
        <v>115</v>
      </c>
      <c r="G108" s="22" t="s">
        <v>33</v>
      </c>
      <c r="H108" s="22">
        <v>4</v>
      </c>
      <c r="I108" s="22" t="s">
        <v>40</v>
      </c>
      <c r="J108" s="22">
        <v>79.989999999999995</v>
      </c>
      <c r="K108" s="22" t="s">
        <v>20</v>
      </c>
      <c r="L108" s="22" t="s">
        <v>22</v>
      </c>
      <c r="M108" s="22">
        <v>319.95999999999998</v>
      </c>
      <c r="N108" s="32">
        <v>44530</v>
      </c>
      <c r="O108" s="41"/>
      <c r="S108" s="26">
        <f t="shared" ca="1" si="12"/>
        <v>45985</v>
      </c>
      <c r="T108" s="19">
        <f t="shared" ca="1" si="13"/>
        <v>45985.990154513885</v>
      </c>
      <c r="U108" s="15">
        <f t="shared" ca="1" si="19"/>
        <v>3</v>
      </c>
      <c r="V108" s="20">
        <f t="shared" ca="1" si="14"/>
        <v>44530</v>
      </c>
      <c r="W108" s="20">
        <f t="shared" si="15"/>
        <v>44620</v>
      </c>
      <c r="Y108" s="15" t="str">
        <f t="shared" si="16"/>
        <v>JT</v>
      </c>
      <c r="Z108" s="15" t="str">
        <f t="shared" si="17"/>
        <v>JENNIFER TAYLOR</v>
      </c>
      <c r="AA108" s="15" t="str">
        <f t="shared" si="18"/>
        <v>jennifer taylor</v>
      </c>
      <c r="AB108" s="40"/>
    </row>
    <row r="109" spans="1:45" ht="16.5" customHeight="1" x14ac:dyDescent="0.35">
      <c r="A109" s="31" t="s">
        <v>242</v>
      </c>
      <c r="B109" s="22">
        <v>45545</v>
      </c>
      <c r="C109" s="22" t="s">
        <v>55</v>
      </c>
      <c r="D109" s="22" t="s">
        <v>56</v>
      </c>
      <c r="E109" s="22" t="s">
        <v>114</v>
      </c>
      <c r="F109" s="22" t="s">
        <v>115</v>
      </c>
      <c r="G109" s="22" t="s">
        <v>33</v>
      </c>
      <c r="H109" s="22">
        <v>1</v>
      </c>
      <c r="I109" s="22" t="s">
        <v>50</v>
      </c>
      <c r="J109" s="22">
        <v>79.989999999999995</v>
      </c>
      <c r="K109" s="22" t="s">
        <v>20</v>
      </c>
      <c r="L109" s="22" t="s">
        <v>22</v>
      </c>
      <c r="M109" s="22">
        <v>79.989999999999995</v>
      </c>
      <c r="N109" s="32">
        <v>44693</v>
      </c>
      <c r="O109" s="41"/>
      <c r="S109" s="27">
        <f t="shared" ca="1" si="12"/>
        <v>45985</v>
      </c>
      <c r="T109" s="19">
        <f t="shared" ca="1" si="13"/>
        <v>45985.990154629631</v>
      </c>
      <c r="U109" s="15">
        <f t="shared" ca="1" si="19"/>
        <v>3</v>
      </c>
      <c r="V109" s="20">
        <f t="shared" ca="1" si="14"/>
        <v>44693</v>
      </c>
      <c r="W109" s="20">
        <f t="shared" si="15"/>
        <v>44804</v>
      </c>
      <c r="Y109" s="15" t="str">
        <f t="shared" si="16"/>
        <v>CA</v>
      </c>
      <c r="Z109" s="15" t="str">
        <f t="shared" si="17"/>
        <v>CHARLES ALLEN</v>
      </c>
      <c r="AA109" s="15" t="str">
        <f t="shared" si="18"/>
        <v>charles allen</v>
      </c>
      <c r="AB109" s="40"/>
    </row>
    <row r="110" spans="1:45" ht="16.5" customHeight="1" x14ac:dyDescent="0.35">
      <c r="A110" s="31" t="s">
        <v>243</v>
      </c>
      <c r="B110" s="22">
        <v>45547</v>
      </c>
      <c r="C110" s="22" t="s">
        <v>48</v>
      </c>
      <c r="D110" s="22" t="s">
        <v>49</v>
      </c>
      <c r="E110" s="22" t="s">
        <v>105</v>
      </c>
      <c r="F110" s="22" t="s">
        <v>106</v>
      </c>
      <c r="G110" s="22" t="s">
        <v>46</v>
      </c>
      <c r="H110" s="22">
        <v>3</v>
      </c>
      <c r="I110" s="22" t="s">
        <v>21</v>
      </c>
      <c r="J110" s="22">
        <v>299.99</v>
      </c>
      <c r="K110" s="22" t="s">
        <v>26</v>
      </c>
      <c r="L110" s="22" t="s">
        <v>27</v>
      </c>
      <c r="M110" s="22">
        <v>899.97</v>
      </c>
      <c r="N110" s="32">
        <v>44494</v>
      </c>
      <c r="O110" s="41"/>
      <c r="S110" s="26">
        <f t="shared" ca="1" si="12"/>
        <v>45985</v>
      </c>
      <c r="T110" s="19">
        <f t="shared" ca="1" si="13"/>
        <v>45985.990154513885</v>
      </c>
      <c r="U110" s="15">
        <f t="shared" ca="1" si="19"/>
        <v>4</v>
      </c>
      <c r="V110" s="20">
        <f t="shared" ca="1" si="14"/>
        <v>44494</v>
      </c>
      <c r="W110" s="20">
        <f t="shared" si="15"/>
        <v>44592</v>
      </c>
      <c r="Y110" s="15" t="str">
        <f t="shared" si="16"/>
        <v>DN</v>
      </c>
      <c r="Z110" s="15" t="str">
        <f t="shared" si="17"/>
        <v>DOROTHY NELSON</v>
      </c>
      <c r="AA110" s="15" t="str">
        <f t="shared" si="18"/>
        <v>dorothy nelson</v>
      </c>
      <c r="AB110" s="40"/>
    </row>
    <row r="111" spans="1:45" ht="16.5" customHeight="1" x14ac:dyDescent="0.35">
      <c r="A111" s="31" t="s">
        <v>244</v>
      </c>
      <c r="B111" s="22">
        <v>45548</v>
      </c>
      <c r="C111" s="22" t="s">
        <v>38</v>
      </c>
      <c r="D111" s="22" t="s">
        <v>39</v>
      </c>
      <c r="E111" s="22" t="s">
        <v>117</v>
      </c>
      <c r="F111" s="22" t="s">
        <v>118</v>
      </c>
      <c r="G111" s="22" t="s">
        <v>19</v>
      </c>
      <c r="H111" s="22">
        <v>2</v>
      </c>
      <c r="I111" s="22" t="s">
        <v>35</v>
      </c>
      <c r="J111" s="22">
        <v>89.99</v>
      </c>
      <c r="K111" s="22" t="s">
        <v>26</v>
      </c>
      <c r="L111" s="22" t="s">
        <v>27</v>
      </c>
      <c r="M111" s="22">
        <v>179.98</v>
      </c>
      <c r="N111" s="32">
        <v>44641</v>
      </c>
      <c r="O111" s="41"/>
      <c r="S111" s="27">
        <f t="shared" ca="1" si="12"/>
        <v>45985</v>
      </c>
      <c r="T111" s="19">
        <f t="shared" ca="1" si="13"/>
        <v>45985.990154629631</v>
      </c>
      <c r="U111" s="15">
        <f t="shared" ca="1" si="19"/>
        <v>3</v>
      </c>
      <c r="V111" s="20">
        <f t="shared" ca="1" si="14"/>
        <v>44641</v>
      </c>
      <c r="W111" s="20">
        <f t="shared" si="15"/>
        <v>44742</v>
      </c>
      <c r="Y111" s="15" t="str">
        <f t="shared" si="16"/>
        <v>KB</v>
      </c>
      <c r="Z111" s="15" t="str">
        <f t="shared" si="17"/>
        <v>KATHLEEN BENNETT</v>
      </c>
      <c r="AA111" s="15" t="str">
        <f t="shared" si="18"/>
        <v>kathleen bennett</v>
      </c>
      <c r="AB111" s="40"/>
    </row>
    <row r="112" spans="1:45" ht="16.5" customHeight="1" x14ac:dyDescent="0.35">
      <c r="A112" s="31" t="s">
        <v>245</v>
      </c>
      <c r="B112" s="22">
        <v>45550</v>
      </c>
      <c r="C112" s="22" t="s">
        <v>246</v>
      </c>
      <c r="D112" s="22" t="s">
        <v>247</v>
      </c>
      <c r="E112" s="22" t="s">
        <v>52</v>
      </c>
      <c r="F112" s="22" t="s">
        <v>53</v>
      </c>
      <c r="G112" s="22" t="s">
        <v>19</v>
      </c>
      <c r="H112" s="22">
        <v>4</v>
      </c>
      <c r="I112" s="22" t="s">
        <v>40</v>
      </c>
      <c r="J112" s="22">
        <v>149.99</v>
      </c>
      <c r="K112" s="22" t="s">
        <v>20</v>
      </c>
      <c r="L112" s="22" t="s">
        <v>22</v>
      </c>
      <c r="M112" s="22">
        <v>599.96</v>
      </c>
      <c r="N112" s="32">
        <v>44909</v>
      </c>
      <c r="O112" s="41"/>
      <c r="S112" s="26">
        <f t="shared" ca="1" si="12"/>
        <v>45985</v>
      </c>
      <c r="T112" s="19">
        <f t="shared" ca="1" si="13"/>
        <v>45985.990154513885</v>
      </c>
      <c r="U112" s="15">
        <f t="shared" ca="1" si="19"/>
        <v>2</v>
      </c>
      <c r="V112" s="20">
        <f t="shared" ca="1" si="14"/>
        <v>44909</v>
      </c>
      <c r="W112" s="20">
        <f t="shared" si="15"/>
        <v>45016</v>
      </c>
      <c r="Y112" s="15" t="str">
        <f t="shared" si="16"/>
        <v>RB</v>
      </c>
      <c r="Z112" s="15" t="str">
        <f t="shared" si="17"/>
        <v>RUTH BROOKS</v>
      </c>
      <c r="AA112" s="15" t="str">
        <f t="shared" si="18"/>
        <v>ruth brooks</v>
      </c>
      <c r="AB112" s="40"/>
    </row>
    <row r="113" spans="1:28" ht="16.5" customHeight="1" x14ac:dyDescent="0.35">
      <c r="A113" s="31" t="s">
        <v>248</v>
      </c>
      <c r="B113" s="22">
        <v>45551</v>
      </c>
      <c r="C113" s="22" t="s">
        <v>65</v>
      </c>
      <c r="D113" s="22" t="s">
        <v>66</v>
      </c>
      <c r="E113" s="22" t="s">
        <v>17</v>
      </c>
      <c r="F113" s="22" t="s">
        <v>18</v>
      </c>
      <c r="G113" s="22" t="s">
        <v>19</v>
      </c>
      <c r="H113" s="22">
        <v>2</v>
      </c>
      <c r="I113" s="22" t="s">
        <v>35</v>
      </c>
      <c r="J113" s="22">
        <v>249.99</v>
      </c>
      <c r="K113" s="22" t="s">
        <v>34</v>
      </c>
      <c r="L113" s="22" t="s">
        <v>22</v>
      </c>
      <c r="M113" s="22">
        <v>499.98</v>
      </c>
      <c r="N113" s="32">
        <v>44993</v>
      </c>
      <c r="O113" s="41"/>
      <c r="S113" s="27">
        <f t="shared" ca="1" si="12"/>
        <v>45985</v>
      </c>
      <c r="T113" s="19">
        <f t="shared" ca="1" si="13"/>
        <v>45985.990154629631</v>
      </c>
      <c r="U113" s="15">
        <f t="shared" ca="1" si="19"/>
        <v>2</v>
      </c>
      <c r="V113" s="20">
        <f t="shared" ca="1" si="14"/>
        <v>44993</v>
      </c>
      <c r="W113" s="20">
        <f t="shared" si="15"/>
        <v>45107</v>
      </c>
      <c r="Y113" s="15" t="str">
        <f t="shared" si="16"/>
        <v>KH</v>
      </c>
      <c r="Z113" s="15" t="str">
        <f t="shared" si="17"/>
        <v>KAREN HILL</v>
      </c>
      <c r="AA113" s="15" t="str">
        <f t="shared" si="18"/>
        <v>karen hill</v>
      </c>
      <c r="AB113" s="40"/>
    </row>
    <row r="114" spans="1:28" ht="16.5" customHeight="1" x14ac:dyDescent="0.35">
      <c r="A114" s="31" t="s">
        <v>249</v>
      </c>
      <c r="B114" s="22">
        <v>45551</v>
      </c>
      <c r="C114" s="22" t="s">
        <v>154</v>
      </c>
      <c r="D114" s="22" t="s">
        <v>155</v>
      </c>
      <c r="E114" s="22" t="s">
        <v>126</v>
      </c>
      <c r="F114" s="22" t="s">
        <v>127</v>
      </c>
      <c r="G114" s="22" t="s">
        <v>46</v>
      </c>
      <c r="H114" s="22">
        <v>4</v>
      </c>
      <c r="I114" s="22" t="s">
        <v>63</v>
      </c>
      <c r="J114" s="22">
        <v>199.99</v>
      </c>
      <c r="K114" s="22" t="s">
        <v>57</v>
      </c>
      <c r="L114" s="22" t="s">
        <v>22</v>
      </c>
      <c r="M114" s="22">
        <v>799.96</v>
      </c>
      <c r="N114" s="32">
        <v>44458</v>
      </c>
      <c r="O114" s="41"/>
      <c r="S114" s="26">
        <f t="shared" ca="1" si="12"/>
        <v>45985</v>
      </c>
      <c r="T114" s="19">
        <f t="shared" ca="1" si="13"/>
        <v>45985.990154513885</v>
      </c>
      <c r="U114" s="15">
        <f t="shared" ca="1" si="19"/>
        <v>4</v>
      </c>
      <c r="V114" s="20">
        <f t="shared" ca="1" si="14"/>
        <v>44458</v>
      </c>
      <c r="W114" s="20">
        <f t="shared" si="15"/>
        <v>44561</v>
      </c>
      <c r="Y114" s="15" t="str">
        <f t="shared" si="16"/>
        <v>SD</v>
      </c>
      <c r="Z114" s="15" t="str">
        <f t="shared" si="17"/>
        <v>SARAH DAVIS</v>
      </c>
      <c r="AA114" s="15" t="str">
        <f t="shared" si="18"/>
        <v>sarah davis</v>
      </c>
      <c r="AB114" s="40"/>
    </row>
    <row r="115" spans="1:28" ht="16.5" customHeight="1" x14ac:dyDescent="0.35">
      <c r="A115" s="31" t="s">
        <v>250</v>
      </c>
      <c r="B115" s="22">
        <v>45554</v>
      </c>
      <c r="C115" s="22" t="s">
        <v>147</v>
      </c>
      <c r="D115" s="22" t="s">
        <v>148</v>
      </c>
      <c r="E115" s="22" t="s">
        <v>117</v>
      </c>
      <c r="F115" s="22" t="s">
        <v>118</v>
      </c>
      <c r="G115" s="22" t="s">
        <v>19</v>
      </c>
      <c r="H115" s="22">
        <v>5</v>
      </c>
      <c r="I115" s="22" t="s">
        <v>63</v>
      </c>
      <c r="J115" s="22">
        <v>89.99</v>
      </c>
      <c r="K115" s="22" t="s">
        <v>26</v>
      </c>
      <c r="L115" s="22" t="s">
        <v>27</v>
      </c>
      <c r="M115" s="22">
        <v>449.95</v>
      </c>
      <c r="N115" s="32">
        <v>44446</v>
      </c>
      <c r="O115" s="41"/>
      <c r="S115" s="27">
        <f t="shared" ca="1" si="12"/>
        <v>45985</v>
      </c>
      <c r="T115" s="19">
        <f t="shared" ca="1" si="13"/>
        <v>45985.990154629631</v>
      </c>
      <c r="U115" s="15">
        <f t="shared" ca="1" si="19"/>
        <v>4</v>
      </c>
      <c r="V115" s="20">
        <f t="shared" ca="1" si="14"/>
        <v>44446</v>
      </c>
      <c r="W115" s="20">
        <f t="shared" si="15"/>
        <v>44561</v>
      </c>
      <c r="Y115" s="15" t="str">
        <f t="shared" si="16"/>
        <v>DK</v>
      </c>
      <c r="Z115" s="15" t="str">
        <f t="shared" si="17"/>
        <v>DANIEL KING</v>
      </c>
      <c r="AA115" s="15" t="str">
        <f t="shared" si="18"/>
        <v>daniel king</v>
      </c>
      <c r="AB115" s="40"/>
    </row>
    <row r="116" spans="1:28" ht="16.5" customHeight="1" x14ac:dyDescent="0.35">
      <c r="A116" s="31" t="s">
        <v>251</v>
      </c>
      <c r="B116" s="22">
        <v>45554</v>
      </c>
      <c r="C116" s="22" t="s">
        <v>252</v>
      </c>
      <c r="D116" s="22" t="s">
        <v>253</v>
      </c>
      <c r="E116" s="22" t="s">
        <v>52</v>
      </c>
      <c r="F116" s="22" t="s">
        <v>53</v>
      </c>
      <c r="G116" s="22" t="s">
        <v>19</v>
      </c>
      <c r="H116" s="22">
        <v>1</v>
      </c>
      <c r="I116" s="22" t="s">
        <v>63</v>
      </c>
      <c r="J116" s="22">
        <v>149.99</v>
      </c>
      <c r="K116" s="22" t="s">
        <v>34</v>
      </c>
      <c r="L116" s="22" t="s">
        <v>36</v>
      </c>
      <c r="M116" s="22">
        <v>149.99</v>
      </c>
      <c r="N116" s="32">
        <v>44482</v>
      </c>
      <c r="O116" s="41"/>
      <c r="S116" s="26">
        <f t="shared" ca="1" si="12"/>
        <v>45985</v>
      </c>
      <c r="T116" s="19">
        <f t="shared" ca="1" si="13"/>
        <v>45985.990154513885</v>
      </c>
      <c r="U116" s="15">
        <f t="shared" ca="1" si="19"/>
        <v>4</v>
      </c>
      <c r="V116" s="20">
        <f t="shared" ca="1" si="14"/>
        <v>44482</v>
      </c>
      <c r="W116" s="20">
        <f t="shared" si="15"/>
        <v>44592</v>
      </c>
      <c r="Y116" s="15" t="str">
        <f t="shared" si="16"/>
        <v>WW</v>
      </c>
      <c r="Z116" s="15" t="str">
        <f t="shared" si="17"/>
        <v>WILLIAM WHITE</v>
      </c>
      <c r="AA116" s="15" t="str">
        <f t="shared" si="18"/>
        <v>william white</v>
      </c>
      <c r="AB116" s="40"/>
    </row>
    <row r="117" spans="1:28" ht="16.5" customHeight="1" x14ac:dyDescent="0.35">
      <c r="A117" s="31" t="s">
        <v>254</v>
      </c>
      <c r="B117" s="22">
        <v>45554</v>
      </c>
      <c r="C117" s="22" t="s">
        <v>72</v>
      </c>
      <c r="D117" s="22" t="s">
        <v>73</v>
      </c>
      <c r="E117" s="22" t="s">
        <v>80</v>
      </c>
      <c r="F117" s="22" t="s">
        <v>81</v>
      </c>
      <c r="G117" s="22" t="s">
        <v>19</v>
      </c>
      <c r="H117" s="22">
        <v>4</v>
      </c>
      <c r="I117" s="22" t="s">
        <v>35</v>
      </c>
      <c r="J117" s="22">
        <v>699.99</v>
      </c>
      <c r="K117" s="22" t="s">
        <v>34</v>
      </c>
      <c r="L117" s="22" t="s">
        <v>22</v>
      </c>
      <c r="M117" s="22">
        <v>2799.96</v>
      </c>
      <c r="N117" s="32">
        <v>44618</v>
      </c>
      <c r="O117" s="41"/>
      <c r="S117" s="27">
        <f t="shared" ca="1" si="12"/>
        <v>45985</v>
      </c>
      <c r="T117" s="19">
        <f t="shared" ca="1" si="13"/>
        <v>45985.990154629631</v>
      </c>
      <c r="U117" s="15">
        <f t="shared" ca="1" si="19"/>
        <v>3</v>
      </c>
      <c r="V117" s="20">
        <f t="shared" ca="1" si="14"/>
        <v>44618</v>
      </c>
      <c r="W117" s="20">
        <f t="shared" si="15"/>
        <v>44712</v>
      </c>
      <c r="Y117" s="15" t="str">
        <f t="shared" si="16"/>
        <v>PR</v>
      </c>
      <c r="Z117" s="15" t="str">
        <f t="shared" si="17"/>
        <v>PETER RICHARDSON</v>
      </c>
      <c r="AA117" s="15" t="str">
        <f t="shared" si="18"/>
        <v>peter richardson</v>
      </c>
      <c r="AB117" s="40"/>
    </row>
    <row r="118" spans="1:28" ht="16.5" customHeight="1" x14ac:dyDescent="0.35">
      <c r="A118" s="31" t="s">
        <v>255</v>
      </c>
      <c r="B118" s="22">
        <v>45559</v>
      </c>
      <c r="C118" s="22" t="s">
        <v>234</v>
      </c>
      <c r="D118" s="22" t="s">
        <v>235</v>
      </c>
      <c r="E118" s="22" t="s">
        <v>61</v>
      </c>
      <c r="F118" s="22" t="s">
        <v>62</v>
      </c>
      <c r="G118" s="22" t="s">
        <v>19</v>
      </c>
      <c r="H118" s="22">
        <v>3</v>
      </c>
      <c r="I118" s="22" t="s">
        <v>40</v>
      </c>
      <c r="J118" s="22">
        <v>899.99</v>
      </c>
      <c r="K118" s="22" t="s">
        <v>26</v>
      </c>
      <c r="L118" s="22" t="s">
        <v>36</v>
      </c>
      <c r="M118" s="22">
        <v>2699.97</v>
      </c>
      <c r="N118" s="32">
        <v>45157</v>
      </c>
      <c r="O118" s="41"/>
      <c r="S118" s="26">
        <f t="shared" ca="1" si="12"/>
        <v>45985</v>
      </c>
      <c r="T118" s="19">
        <f t="shared" ca="1" si="13"/>
        <v>45985.990154513885</v>
      </c>
      <c r="U118" s="15">
        <f t="shared" ca="1" si="19"/>
        <v>2</v>
      </c>
      <c r="V118" s="20">
        <f t="shared" ca="1" si="14"/>
        <v>45157</v>
      </c>
      <c r="W118" s="20">
        <f t="shared" si="15"/>
        <v>45260</v>
      </c>
      <c r="Y118" s="15" t="str">
        <f t="shared" si="16"/>
        <v>SP</v>
      </c>
      <c r="Z118" s="15" t="str">
        <f t="shared" si="17"/>
        <v>SANDRA PHILLIPS</v>
      </c>
      <c r="AA118" s="15" t="str">
        <f t="shared" si="18"/>
        <v>sandra phillips</v>
      </c>
      <c r="AB118" s="40"/>
    </row>
    <row r="119" spans="1:28" ht="16.5" customHeight="1" x14ac:dyDescent="0.35">
      <c r="A119" s="31" t="s">
        <v>256</v>
      </c>
      <c r="B119" s="22">
        <v>45560</v>
      </c>
      <c r="C119" s="22" t="s">
        <v>112</v>
      </c>
      <c r="D119" s="22" t="s">
        <v>113</v>
      </c>
      <c r="E119" s="22" t="s">
        <v>44</v>
      </c>
      <c r="F119" s="22" t="s">
        <v>45</v>
      </c>
      <c r="G119" s="22" t="s">
        <v>46</v>
      </c>
      <c r="H119" s="22">
        <v>3</v>
      </c>
      <c r="I119" s="22" t="s">
        <v>63</v>
      </c>
      <c r="J119" s="22">
        <v>149.99</v>
      </c>
      <c r="K119" s="22" t="s">
        <v>34</v>
      </c>
      <c r="L119" s="22" t="s">
        <v>22</v>
      </c>
      <c r="M119" s="22">
        <v>449.97</v>
      </c>
      <c r="N119" s="32">
        <v>44886</v>
      </c>
      <c r="O119" s="41"/>
      <c r="S119" s="27">
        <f t="shared" ca="1" si="12"/>
        <v>45985</v>
      </c>
      <c r="T119" s="19">
        <f t="shared" ca="1" si="13"/>
        <v>45985.990154629631</v>
      </c>
      <c r="U119" s="15">
        <f t="shared" ca="1" si="19"/>
        <v>3</v>
      </c>
      <c r="V119" s="20">
        <f t="shared" ca="1" si="14"/>
        <v>44886</v>
      </c>
      <c r="W119" s="20">
        <f t="shared" si="15"/>
        <v>44985</v>
      </c>
      <c r="Y119" s="15" t="str">
        <f t="shared" si="16"/>
        <v>LM</v>
      </c>
      <c r="Z119" s="15" t="str">
        <f t="shared" si="17"/>
        <v>LINDA MARTIN</v>
      </c>
      <c r="AA119" s="15" t="str">
        <f t="shared" si="18"/>
        <v>linda martin</v>
      </c>
      <c r="AB119" s="40"/>
    </row>
    <row r="120" spans="1:28" ht="16.5" customHeight="1" x14ac:dyDescent="0.35">
      <c r="A120" s="31" t="s">
        <v>257</v>
      </c>
      <c r="B120" s="22">
        <v>45563</v>
      </c>
      <c r="C120" s="22" t="s">
        <v>99</v>
      </c>
      <c r="D120" s="22" t="s">
        <v>100</v>
      </c>
      <c r="E120" s="22" t="s">
        <v>105</v>
      </c>
      <c r="F120" s="22" t="s">
        <v>106</v>
      </c>
      <c r="G120" s="22" t="s">
        <v>46</v>
      </c>
      <c r="H120" s="22">
        <v>2</v>
      </c>
      <c r="I120" s="22" t="s">
        <v>21</v>
      </c>
      <c r="J120" s="22">
        <v>299.99</v>
      </c>
      <c r="K120" s="22" t="s">
        <v>57</v>
      </c>
      <c r="L120" s="22" t="s">
        <v>22</v>
      </c>
      <c r="M120" s="22">
        <v>599.98</v>
      </c>
      <c r="N120" s="32">
        <v>44569</v>
      </c>
      <c r="O120" s="41"/>
      <c r="S120" s="26">
        <f t="shared" ca="1" si="12"/>
        <v>45985</v>
      </c>
      <c r="T120" s="19">
        <f t="shared" ca="1" si="13"/>
        <v>45985.990154513885</v>
      </c>
      <c r="U120" s="15">
        <f t="shared" ca="1" si="19"/>
        <v>3</v>
      </c>
      <c r="V120" s="20">
        <f t="shared" ca="1" si="14"/>
        <v>44569</v>
      </c>
      <c r="W120" s="20">
        <f t="shared" si="15"/>
        <v>44681</v>
      </c>
      <c r="Y120" s="15" t="str">
        <f t="shared" si="16"/>
        <v>PM</v>
      </c>
      <c r="Z120" s="15" t="str">
        <f t="shared" si="17"/>
        <v>PATRICIA MOORE</v>
      </c>
      <c r="AA120" s="15" t="str">
        <f t="shared" si="18"/>
        <v>patricia moore</v>
      </c>
      <c r="AB120" s="40"/>
    </row>
    <row r="121" spans="1:28" ht="16.5" customHeight="1" x14ac:dyDescent="0.35">
      <c r="A121" s="31" t="s">
        <v>258</v>
      </c>
      <c r="B121" s="22">
        <v>45564</v>
      </c>
      <c r="C121" s="22" t="s">
        <v>259</v>
      </c>
      <c r="D121" s="22" t="s">
        <v>260</v>
      </c>
      <c r="E121" s="22" t="s">
        <v>126</v>
      </c>
      <c r="F121" s="22" t="s">
        <v>127</v>
      </c>
      <c r="G121" s="22" t="s">
        <v>46</v>
      </c>
      <c r="H121" s="22">
        <v>1</v>
      </c>
      <c r="I121" s="22" t="s">
        <v>63</v>
      </c>
      <c r="J121" s="22">
        <v>199.99</v>
      </c>
      <c r="K121" s="22" t="s">
        <v>57</v>
      </c>
      <c r="L121" s="22" t="s">
        <v>36</v>
      </c>
      <c r="M121" s="22">
        <v>199.99</v>
      </c>
      <c r="N121" s="32">
        <v>44953</v>
      </c>
      <c r="O121" s="41"/>
      <c r="S121" s="27">
        <f t="shared" ca="1" si="12"/>
        <v>45985</v>
      </c>
      <c r="T121" s="19">
        <f t="shared" ca="1" si="13"/>
        <v>45985.990154629631</v>
      </c>
      <c r="U121" s="15">
        <f t="shared" ca="1" si="19"/>
        <v>2</v>
      </c>
      <c r="V121" s="20">
        <f t="shared" ca="1" si="14"/>
        <v>44953</v>
      </c>
      <c r="W121" s="20">
        <f t="shared" si="15"/>
        <v>45046</v>
      </c>
      <c r="Y121" s="15" t="str">
        <f t="shared" si="16"/>
        <v>RL</v>
      </c>
      <c r="Z121" s="15" t="str">
        <f t="shared" si="17"/>
        <v>RICHARD LEE</v>
      </c>
      <c r="AA121" s="15" t="str">
        <f t="shared" si="18"/>
        <v>richard lee</v>
      </c>
      <c r="AB121" s="40"/>
    </row>
    <row r="122" spans="1:28" ht="16.5" customHeight="1" x14ac:dyDescent="0.35">
      <c r="A122" s="31" t="s">
        <v>261</v>
      </c>
      <c r="B122" s="22">
        <v>45566</v>
      </c>
      <c r="C122" s="22" t="s">
        <v>42</v>
      </c>
      <c r="D122" s="22" t="s">
        <v>43</v>
      </c>
      <c r="E122" s="22" t="s">
        <v>105</v>
      </c>
      <c r="F122" s="22" t="s">
        <v>106</v>
      </c>
      <c r="G122" s="22" t="s">
        <v>46</v>
      </c>
      <c r="H122" s="22">
        <v>4</v>
      </c>
      <c r="I122" s="22" t="s">
        <v>21</v>
      </c>
      <c r="J122" s="22">
        <v>299.99</v>
      </c>
      <c r="K122" s="22" t="s">
        <v>20</v>
      </c>
      <c r="L122" s="22" t="s">
        <v>27</v>
      </c>
      <c r="M122" s="22">
        <v>1199.96</v>
      </c>
      <c r="N122" s="32">
        <v>44460</v>
      </c>
      <c r="O122" s="41"/>
      <c r="S122" s="26">
        <f t="shared" ca="1" si="12"/>
        <v>45985</v>
      </c>
      <c r="T122" s="19">
        <f t="shared" ca="1" si="13"/>
        <v>45985.990154513885</v>
      </c>
      <c r="U122" s="15">
        <f t="shared" ca="1" si="19"/>
        <v>4</v>
      </c>
      <c r="V122" s="20">
        <f t="shared" ca="1" si="14"/>
        <v>44460</v>
      </c>
      <c r="W122" s="20">
        <f t="shared" si="15"/>
        <v>44561</v>
      </c>
      <c r="Y122" s="15" t="str">
        <f t="shared" si="16"/>
        <v>MB</v>
      </c>
      <c r="Z122" s="15" t="str">
        <f t="shared" si="17"/>
        <v>MICHAEL BROWN</v>
      </c>
      <c r="AA122" s="15" t="str">
        <f t="shared" si="18"/>
        <v>michael brown</v>
      </c>
      <c r="AB122" s="40"/>
    </row>
    <row r="123" spans="1:28" ht="16.5" customHeight="1" x14ac:dyDescent="0.35">
      <c r="A123" s="31" t="s">
        <v>262</v>
      </c>
      <c r="B123" s="22">
        <v>45572</v>
      </c>
      <c r="C123" s="22" t="s">
        <v>89</v>
      </c>
      <c r="D123" s="22" t="s">
        <v>90</v>
      </c>
      <c r="E123" s="22" t="s">
        <v>31</v>
      </c>
      <c r="F123" s="22" t="s">
        <v>32</v>
      </c>
      <c r="G123" s="22" t="s">
        <v>33</v>
      </c>
      <c r="H123" s="22">
        <v>2</v>
      </c>
      <c r="I123" s="22" t="s">
        <v>21</v>
      </c>
      <c r="J123" s="22">
        <v>59.99</v>
      </c>
      <c r="K123" s="22" t="s">
        <v>26</v>
      </c>
      <c r="L123" s="22" t="s">
        <v>22</v>
      </c>
      <c r="M123" s="22">
        <v>119.98</v>
      </c>
      <c r="N123" s="32">
        <v>44579</v>
      </c>
      <c r="O123" s="41"/>
      <c r="S123" s="27">
        <f t="shared" ca="1" si="12"/>
        <v>45985</v>
      </c>
      <c r="T123" s="19">
        <f t="shared" ca="1" si="13"/>
        <v>45985.990154629631</v>
      </c>
      <c r="U123" s="15">
        <f t="shared" ca="1" si="19"/>
        <v>3</v>
      </c>
      <c r="V123" s="20">
        <f t="shared" ca="1" si="14"/>
        <v>44579</v>
      </c>
      <c r="W123" s="20">
        <f t="shared" si="15"/>
        <v>44681</v>
      </c>
      <c r="Y123" s="15" t="str">
        <f t="shared" si="16"/>
        <v>MG</v>
      </c>
      <c r="Z123" s="15" t="str">
        <f t="shared" si="17"/>
        <v>MARIA GARCIA</v>
      </c>
      <c r="AA123" s="15" t="str">
        <f t="shared" si="18"/>
        <v>maria garcia</v>
      </c>
      <c r="AB123" s="40"/>
    </row>
    <row r="124" spans="1:28" ht="16.5" customHeight="1" x14ac:dyDescent="0.35">
      <c r="A124" s="31" t="s">
        <v>263</v>
      </c>
      <c r="B124" s="22">
        <v>45572</v>
      </c>
      <c r="C124" s="22" t="s">
        <v>234</v>
      </c>
      <c r="D124" s="22" t="s">
        <v>235</v>
      </c>
      <c r="E124" s="22" t="s">
        <v>52</v>
      </c>
      <c r="F124" s="22" t="s">
        <v>53</v>
      </c>
      <c r="G124" s="22" t="s">
        <v>19</v>
      </c>
      <c r="H124" s="22">
        <v>4</v>
      </c>
      <c r="I124" s="22" t="s">
        <v>40</v>
      </c>
      <c r="J124" s="22">
        <v>149.99</v>
      </c>
      <c r="K124" s="22" t="s">
        <v>26</v>
      </c>
      <c r="L124" s="22" t="s">
        <v>27</v>
      </c>
      <c r="M124" s="22">
        <v>599.96</v>
      </c>
      <c r="N124" s="32">
        <v>45076</v>
      </c>
      <c r="O124" s="41"/>
      <c r="S124" s="26">
        <f t="shared" ca="1" si="12"/>
        <v>45985</v>
      </c>
      <c r="T124" s="19">
        <f t="shared" ca="1" si="13"/>
        <v>45985.990154513885</v>
      </c>
      <c r="U124" s="15">
        <f t="shared" ca="1" si="19"/>
        <v>2</v>
      </c>
      <c r="V124" s="20">
        <f t="shared" ca="1" si="14"/>
        <v>45076</v>
      </c>
      <c r="W124" s="20">
        <f t="shared" si="15"/>
        <v>45169</v>
      </c>
      <c r="Y124" s="15" t="str">
        <f t="shared" si="16"/>
        <v>SP</v>
      </c>
      <c r="Z124" s="15" t="str">
        <f t="shared" si="17"/>
        <v>SANDRA PHILLIPS</v>
      </c>
      <c r="AA124" s="15" t="str">
        <f t="shared" si="18"/>
        <v>sandra phillips</v>
      </c>
      <c r="AB124" s="40"/>
    </row>
    <row r="125" spans="1:28" ht="16.5" customHeight="1" x14ac:dyDescent="0.35">
      <c r="A125" s="31" t="s">
        <v>264</v>
      </c>
      <c r="B125" s="22">
        <v>45573</v>
      </c>
      <c r="C125" s="22" t="s">
        <v>211</v>
      </c>
      <c r="D125" s="22" t="s">
        <v>212</v>
      </c>
      <c r="E125" s="22" t="s">
        <v>80</v>
      </c>
      <c r="F125" s="22" t="s">
        <v>81</v>
      </c>
      <c r="G125" s="22" t="s">
        <v>19</v>
      </c>
      <c r="H125" s="22">
        <v>2</v>
      </c>
      <c r="I125" s="22" t="s">
        <v>63</v>
      </c>
      <c r="J125" s="22">
        <v>699.99</v>
      </c>
      <c r="K125" s="22" t="s">
        <v>57</v>
      </c>
      <c r="L125" s="22" t="s">
        <v>27</v>
      </c>
      <c r="M125" s="22">
        <v>1399.98</v>
      </c>
      <c r="N125" s="32">
        <v>45274</v>
      </c>
      <c r="O125" s="41"/>
      <c r="S125" s="27">
        <f t="shared" ca="1" si="12"/>
        <v>45985</v>
      </c>
      <c r="T125" s="19">
        <f t="shared" ca="1" si="13"/>
        <v>45985.990154629631</v>
      </c>
      <c r="U125" s="15">
        <f t="shared" ca="1" si="19"/>
        <v>1</v>
      </c>
      <c r="V125" s="20">
        <f t="shared" ca="1" si="14"/>
        <v>45274</v>
      </c>
      <c r="W125" s="20">
        <f t="shared" si="15"/>
        <v>45382</v>
      </c>
      <c r="Y125" s="15" t="str">
        <f t="shared" si="16"/>
        <v>EH</v>
      </c>
      <c r="Z125" s="15" t="str">
        <f t="shared" si="17"/>
        <v>ELIZABETH HALL</v>
      </c>
      <c r="AA125" s="15" t="str">
        <f t="shared" si="18"/>
        <v>elizabeth hall</v>
      </c>
      <c r="AB125" s="40"/>
    </row>
    <row r="126" spans="1:28" ht="16.5" customHeight="1" x14ac:dyDescent="0.35">
      <c r="A126" s="31" t="s">
        <v>265</v>
      </c>
      <c r="B126" s="22">
        <v>45573</v>
      </c>
      <c r="C126" s="22" t="s">
        <v>231</v>
      </c>
      <c r="D126" s="22" t="s">
        <v>232</v>
      </c>
      <c r="E126" s="22" t="s">
        <v>44</v>
      </c>
      <c r="F126" s="22" t="s">
        <v>45</v>
      </c>
      <c r="G126" s="22" t="s">
        <v>46</v>
      </c>
      <c r="H126" s="22">
        <v>3</v>
      </c>
      <c r="I126" s="22" t="s">
        <v>35</v>
      </c>
      <c r="J126" s="22">
        <v>149.99</v>
      </c>
      <c r="K126" s="22" t="s">
        <v>26</v>
      </c>
      <c r="L126" s="22" t="s">
        <v>36</v>
      </c>
      <c r="M126" s="22">
        <v>449.97</v>
      </c>
      <c r="N126" s="32">
        <v>44940</v>
      </c>
      <c r="O126" s="41"/>
      <c r="S126" s="26">
        <f t="shared" ca="1" si="12"/>
        <v>45985</v>
      </c>
      <c r="T126" s="19">
        <f t="shared" ca="1" si="13"/>
        <v>45985.990154513885</v>
      </c>
      <c r="U126" s="15">
        <f t="shared" ca="1" si="19"/>
        <v>2</v>
      </c>
      <c r="V126" s="20">
        <f t="shared" ca="1" si="14"/>
        <v>44940</v>
      </c>
      <c r="W126" s="20">
        <f t="shared" si="15"/>
        <v>45046</v>
      </c>
      <c r="Y126" s="15" t="str">
        <f t="shared" si="16"/>
        <v>CE</v>
      </c>
      <c r="Z126" s="15" t="str">
        <f t="shared" si="17"/>
        <v>CAROL EVANS</v>
      </c>
      <c r="AA126" s="15" t="str">
        <f t="shared" si="18"/>
        <v>carol evans</v>
      </c>
      <c r="AB126" s="40"/>
    </row>
    <row r="127" spans="1:28" ht="16.5" customHeight="1" x14ac:dyDescent="0.35">
      <c r="A127" s="31" t="s">
        <v>266</v>
      </c>
      <c r="B127" s="22">
        <v>45576</v>
      </c>
      <c r="C127" s="22" t="s">
        <v>147</v>
      </c>
      <c r="D127" s="22" t="s">
        <v>148</v>
      </c>
      <c r="E127" s="22" t="s">
        <v>105</v>
      </c>
      <c r="F127" s="22" t="s">
        <v>106</v>
      </c>
      <c r="G127" s="22" t="s">
        <v>46</v>
      </c>
      <c r="H127" s="22">
        <v>3</v>
      </c>
      <c r="I127" s="22" t="s">
        <v>21</v>
      </c>
      <c r="J127" s="22">
        <v>299.99</v>
      </c>
      <c r="K127" s="22" t="s">
        <v>26</v>
      </c>
      <c r="L127" s="22" t="s">
        <v>36</v>
      </c>
      <c r="M127" s="22">
        <v>899.97</v>
      </c>
      <c r="N127" s="32">
        <v>45174</v>
      </c>
      <c r="O127" s="41"/>
      <c r="S127" s="27">
        <f t="shared" ca="1" si="12"/>
        <v>45985</v>
      </c>
      <c r="T127" s="19">
        <f t="shared" ca="1" si="13"/>
        <v>45985.990154629631</v>
      </c>
      <c r="U127" s="15">
        <f t="shared" ca="1" si="19"/>
        <v>2</v>
      </c>
      <c r="V127" s="20">
        <f t="shared" ca="1" si="14"/>
        <v>45174</v>
      </c>
      <c r="W127" s="20">
        <f t="shared" si="15"/>
        <v>45291</v>
      </c>
      <c r="Y127" s="15" t="str">
        <f t="shared" si="16"/>
        <v>DK</v>
      </c>
      <c r="Z127" s="15" t="str">
        <f t="shared" si="17"/>
        <v>DANIEL KING</v>
      </c>
      <c r="AA127" s="15" t="str">
        <f t="shared" si="18"/>
        <v>daniel king</v>
      </c>
      <c r="AB127" s="40"/>
    </row>
    <row r="128" spans="1:28" ht="16.5" customHeight="1" x14ac:dyDescent="0.35">
      <c r="A128" s="31" t="s">
        <v>267</v>
      </c>
      <c r="B128" s="22">
        <v>45579</v>
      </c>
      <c r="C128" s="22" t="s">
        <v>83</v>
      </c>
      <c r="D128" s="22" t="s">
        <v>84</v>
      </c>
      <c r="E128" s="22" t="s">
        <v>61</v>
      </c>
      <c r="F128" s="22" t="s">
        <v>62</v>
      </c>
      <c r="G128" s="22" t="s">
        <v>19</v>
      </c>
      <c r="H128" s="22">
        <v>3</v>
      </c>
      <c r="I128" s="22" t="s">
        <v>50</v>
      </c>
      <c r="J128" s="22">
        <v>899.99</v>
      </c>
      <c r="K128" s="22" t="s">
        <v>34</v>
      </c>
      <c r="L128" s="22" t="s">
        <v>22</v>
      </c>
      <c r="M128" s="22">
        <v>2699.97</v>
      </c>
      <c r="N128" s="32">
        <v>45215</v>
      </c>
      <c r="O128" s="41"/>
      <c r="S128" s="26">
        <f t="shared" ca="1" si="12"/>
        <v>45985</v>
      </c>
      <c r="T128" s="19">
        <f t="shared" ca="1" si="13"/>
        <v>45985.990154513885</v>
      </c>
      <c r="U128" s="15">
        <f t="shared" ca="1" si="19"/>
        <v>2</v>
      </c>
      <c r="V128" s="20">
        <f t="shared" ca="1" si="14"/>
        <v>45215</v>
      </c>
      <c r="W128" s="20">
        <f t="shared" si="15"/>
        <v>45322</v>
      </c>
      <c r="Y128" s="15" t="str">
        <f t="shared" si="16"/>
        <v>GA</v>
      </c>
      <c r="Z128" s="15" t="str">
        <f t="shared" si="17"/>
        <v>GEORGE ADAMS</v>
      </c>
      <c r="AA128" s="15" t="str">
        <f t="shared" si="18"/>
        <v>george adams</v>
      </c>
      <c r="AB128" s="40"/>
    </row>
    <row r="129" spans="1:28" ht="16.5" customHeight="1" x14ac:dyDescent="0.35">
      <c r="A129" s="31" t="s">
        <v>268</v>
      </c>
      <c r="B129" s="22">
        <v>45581</v>
      </c>
      <c r="C129" s="22" t="s">
        <v>96</v>
      </c>
      <c r="D129" s="22" t="s">
        <v>97</v>
      </c>
      <c r="E129" s="22" t="s">
        <v>80</v>
      </c>
      <c r="F129" s="22" t="s">
        <v>81</v>
      </c>
      <c r="G129" s="22" t="s">
        <v>19</v>
      </c>
      <c r="H129" s="22">
        <v>5</v>
      </c>
      <c r="I129" s="22" t="s">
        <v>63</v>
      </c>
      <c r="J129" s="22">
        <v>699.99</v>
      </c>
      <c r="K129" s="22" t="s">
        <v>20</v>
      </c>
      <c r="L129" s="22" t="s">
        <v>36</v>
      </c>
      <c r="M129" s="22">
        <v>3499.95</v>
      </c>
      <c r="N129" s="32">
        <v>45008</v>
      </c>
      <c r="O129" s="41"/>
      <c r="S129" s="27">
        <f t="shared" ca="1" si="12"/>
        <v>45985</v>
      </c>
      <c r="T129" s="19">
        <f t="shared" ca="1" si="13"/>
        <v>45985.990154629631</v>
      </c>
      <c r="U129" s="15">
        <f t="shared" ca="1" si="19"/>
        <v>2</v>
      </c>
      <c r="V129" s="20">
        <f t="shared" ca="1" si="14"/>
        <v>45008</v>
      </c>
      <c r="W129" s="20">
        <f t="shared" si="15"/>
        <v>45107</v>
      </c>
      <c r="Y129" s="15" t="str">
        <f t="shared" si="16"/>
        <v>BY</v>
      </c>
      <c r="Z129" s="15" t="str">
        <f t="shared" si="17"/>
        <v>BARBARA YOUNG</v>
      </c>
      <c r="AA129" s="15" t="str">
        <f t="shared" si="18"/>
        <v>barbara young</v>
      </c>
      <c r="AB129" s="40"/>
    </row>
    <row r="130" spans="1:28" ht="16.5" customHeight="1" x14ac:dyDescent="0.35">
      <c r="A130" s="31" t="s">
        <v>269</v>
      </c>
      <c r="B130" s="22">
        <v>45581</v>
      </c>
      <c r="C130" s="22" t="s">
        <v>171</v>
      </c>
      <c r="D130" s="22" t="s">
        <v>172</v>
      </c>
      <c r="E130" s="22" t="s">
        <v>80</v>
      </c>
      <c r="F130" s="22" t="s">
        <v>81</v>
      </c>
      <c r="G130" s="22" t="s">
        <v>19</v>
      </c>
      <c r="H130" s="22">
        <v>4</v>
      </c>
      <c r="I130" s="22" t="s">
        <v>21</v>
      </c>
      <c r="J130" s="22">
        <v>699.99</v>
      </c>
      <c r="K130" s="22" t="s">
        <v>26</v>
      </c>
      <c r="L130" s="22" t="s">
        <v>22</v>
      </c>
      <c r="M130" s="22">
        <v>2799.96</v>
      </c>
      <c r="N130" s="32">
        <v>45385</v>
      </c>
      <c r="O130" s="41"/>
      <c r="S130" s="26">
        <f t="shared" ref="S130:S193" ca="1" si="20">TODAY()</f>
        <v>45985</v>
      </c>
      <c r="T130" s="19">
        <f t="shared" ref="T130:T193" ca="1" si="21">NOW()</f>
        <v>45985.990154513885</v>
      </c>
      <c r="U130" s="15">
        <f t="shared" ca="1" si="19"/>
        <v>1</v>
      </c>
      <c r="V130" s="20">
        <f t="shared" ref="V130:V193" ca="1" si="22">IF(F130&lt;&gt;"", IF(N130="", NOW(), N130), "")</f>
        <v>45385</v>
      </c>
      <c r="W130" s="20">
        <f t="shared" ref="W130:W193" si="23">EOMONTH(N130,3)</f>
        <v>45504</v>
      </c>
      <c r="Y130" s="15" t="str">
        <f t="shared" ref="Y130:Y193" si="24">UPPER(LEFT(D130,1) &amp; MID(D130, FIND(" ", D130)+1, 1))</f>
        <v>RR</v>
      </c>
      <c r="Z130" s="15" t="str">
        <f t="shared" ref="Z130:Z193" si="25">UPPER(D130)</f>
        <v>RAYMOND ROSS</v>
      </c>
      <c r="AA130" s="15" t="str">
        <f t="shared" ref="AA130:AA193" si="26">LOWER(D130)</f>
        <v>raymond ross</v>
      </c>
      <c r="AB130" s="40"/>
    </row>
    <row r="131" spans="1:28" ht="16.5" customHeight="1" x14ac:dyDescent="0.35">
      <c r="A131" s="31" t="s">
        <v>270</v>
      </c>
      <c r="B131" s="22">
        <v>45581</v>
      </c>
      <c r="C131" s="22" t="s">
        <v>150</v>
      </c>
      <c r="D131" s="22" t="s">
        <v>151</v>
      </c>
      <c r="E131" s="22" t="s">
        <v>61</v>
      </c>
      <c r="F131" s="22" t="s">
        <v>62</v>
      </c>
      <c r="G131" s="22" t="s">
        <v>19</v>
      </c>
      <c r="H131" s="22">
        <v>1</v>
      </c>
      <c r="I131" s="22" t="s">
        <v>63</v>
      </c>
      <c r="J131" s="22">
        <v>899.99</v>
      </c>
      <c r="K131" s="22" t="s">
        <v>26</v>
      </c>
      <c r="L131" s="22" t="s">
        <v>36</v>
      </c>
      <c r="M131" s="22">
        <v>899.99</v>
      </c>
      <c r="N131" s="32">
        <v>45369</v>
      </c>
      <c r="O131" s="41"/>
      <c r="S131" s="27">
        <f t="shared" ca="1" si="20"/>
        <v>45985</v>
      </c>
      <c r="T131" s="19">
        <f t="shared" ca="1" si="21"/>
        <v>45985.990154629631</v>
      </c>
      <c r="U131" s="15">
        <f t="shared" ref="U131:U194" ca="1" si="27">DATEDIF(N131,S131,"y")</f>
        <v>1</v>
      </c>
      <c r="V131" s="20">
        <f t="shared" ca="1" si="22"/>
        <v>45369</v>
      </c>
      <c r="W131" s="20">
        <f t="shared" si="23"/>
        <v>45473</v>
      </c>
      <c r="Y131" s="15" t="str">
        <f t="shared" si="24"/>
        <v>SB</v>
      </c>
      <c r="Z131" s="15" t="str">
        <f t="shared" si="25"/>
        <v>SHARON BUTLER</v>
      </c>
      <c r="AA131" s="15" t="str">
        <f t="shared" si="26"/>
        <v>sharon butler</v>
      </c>
      <c r="AB131" s="40"/>
    </row>
    <row r="132" spans="1:28" ht="16.5" customHeight="1" x14ac:dyDescent="0.35">
      <c r="A132" s="31" t="s">
        <v>271</v>
      </c>
      <c r="B132" s="22">
        <v>45583</v>
      </c>
      <c r="C132" s="22" t="s">
        <v>226</v>
      </c>
      <c r="D132" s="22" t="s">
        <v>227</v>
      </c>
      <c r="E132" s="22" t="s">
        <v>52</v>
      </c>
      <c r="F132" s="22" t="s">
        <v>53</v>
      </c>
      <c r="G132" s="22" t="s">
        <v>19</v>
      </c>
      <c r="H132" s="22">
        <v>2</v>
      </c>
      <c r="I132" s="22" t="s">
        <v>50</v>
      </c>
      <c r="J132" s="22">
        <v>149.99</v>
      </c>
      <c r="K132" s="22" t="s">
        <v>26</v>
      </c>
      <c r="L132" s="22" t="s">
        <v>22</v>
      </c>
      <c r="M132" s="22">
        <v>299.98</v>
      </c>
      <c r="N132" s="32">
        <v>44916</v>
      </c>
      <c r="O132" s="41"/>
      <c r="S132" s="26">
        <f t="shared" ca="1" si="20"/>
        <v>45985</v>
      </c>
      <c r="T132" s="19">
        <f t="shared" ca="1" si="21"/>
        <v>45985.990154513885</v>
      </c>
      <c r="U132" s="15">
        <f t="shared" ca="1" si="27"/>
        <v>2</v>
      </c>
      <c r="V132" s="20">
        <f t="shared" ca="1" si="22"/>
        <v>44916</v>
      </c>
      <c r="W132" s="20">
        <f t="shared" si="23"/>
        <v>45016</v>
      </c>
      <c r="Y132" s="15" t="str">
        <f t="shared" si="24"/>
        <v>LR</v>
      </c>
      <c r="Z132" s="15" t="str">
        <f t="shared" si="25"/>
        <v>LAWRENCE REED</v>
      </c>
      <c r="AA132" s="15" t="str">
        <f t="shared" si="26"/>
        <v>lawrence reed</v>
      </c>
      <c r="AB132" s="40"/>
    </row>
    <row r="133" spans="1:28" ht="16.5" customHeight="1" x14ac:dyDescent="0.35">
      <c r="A133" s="31" t="s">
        <v>272</v>
      </c>
      <c r="B133" s="22">
        <v>45586</v>
      </c>
      <c r="C133" s="22" t="s">
        <v>226</v>
      </c>
      <c r="D133" s="22" t="s">
        <v>227</v>
      </c>
      <c r="E133" s="22" t="s">
        <v>117</v>
      </c>
      <c r="F133" s="22" t="s">
        <v>118</v>
      </c>
      <c r="G133" s="22" t="s">
        <v>19</v>
      </c>
      <c r="H133" s="22">
        <v>3</v>
      </c>
      <c r="I133" s="22" t="s">
        <v>21</v>
      </c>
      <c r="J133" s="22">
        <v>89.99</v>
      </c>
      <c r="K133" s="22" t="s">
        <v>34</v>
      </c>
      <c r="L133" s="22" t="s">
        <v>22</v>
      </c>
      <c r="M133" s="22">
        <v>269.97000000000003</v>
      </c>
      <c r="N133" s="32">
        <v>44551</v>
      </c>
      <c r="O133" s="41"/>
      <c r="S133" s="27">
        <f t="shared" ca="1" si="20"/>
        <v>45985</v>
      </c>
      <c r="T133" s="19">
        <f t="shared" ca="1" si="21"/>
        <v>45985.990154629631</v>
      </c>
      <c r="U133" s="15">
        <f t="shared" ca="1" si="27"/>
        <v>3</v>
      </c>
      <c r="V133" s="20">
        <f t="shared" ca="1" si="22"/>
        <v>44551</v>
      </c>
      <c r="W133" s="20">
        <f t="shared" si="23"/>
        <v>44651</v>
      </c>
      <c r="Y133" s="15" t="str">
        <f t="shared" si="24"/>
        <v>LR</v>
      </c>
      <c r="Z133" s="15" t="str">
        <f t="shared" si="25"/>
        <v>LAWRENCE REED</v>
      </c>
      <c r="AA133" s="15" t="str">
        <f t="shared" si="26"/>
        <v>lawrence reed</v>
      </c>
      <c r="AB133" s="40"/>
    </row>
    <row r="134" spans="1:28" ht="16.5" customHeight="1" x14ac:dyDescent="0.35">
      <c r="A134" s="31" t="s">
        <v>273</v>
      </c>
      <c r="B134" s="22">
        <v>45588</v>
      </c>
      <c r="C134" s="22" t="s">
        <v>38</v>
      </c>
      <c r="D134" s="22" t="s">
        <v>39</v>
      </c>
      <c r="E134" s="22" t="s">
        <v>52</v>
      </c>
      <c r="F134" s="22" t="s">
        <v>53</v>
      </c>
      <c r="G134" s="22" t="s">
        <v>19</v>
      </c>
      <c r="H134" s="22">
        <v>2</v>
      </c>
      <c r="I134" s="22" t="s">
        <v>21</v>
      </c>
      <c r="J134" s="22">
        <v>149.99</v>
      </c>
      <c r="K134" s="22" t="s">
        <v>34</v>
      </c>
      <c r="L134" s="22" t="s">
        <v>22</v>
      </c>
      <c r="M134" s="22">
        <v>299.98</v>
      </c>
      <c r="N134" s="32">
        <v>44473</v>
      </c>
      <c r="O134" s="41"/>
      <c r="S134" s="26">
        <f t="shared" ca="1" si="20"/>
        <v>45985</v>
      </c>
      <c r="T134" s="19">
        <f t="shared" ca="1" si="21"/>
        <v>45985.990154513885</v>
      </c>
      <c r="U134" s="15">
        <f t="shared" ca="1" si="27"/>
        <v>4</v>
      </c>
      <c r="V134" s="20">
        <f t="shared" ca="1" si="22"/>
        <v>44473</v>
      </c>
      <c r="W134" s="20">
        <f t="shared" si="23"/>
        <v>44592</v>
      </c>
      <c r="Y134" s="15" t="str">
        <f t="shared" si="24"/>
        <v>KB</v>
      </c>
      <c r="Z134" s="15" t="str">
        <f t="shared" si="25"/>
        <v>KATHLEEN BENNETT</v>
      </c>
      <c r="AA134" s="15" t="str">
        <f t="shared" si="26"/>
        <v>kathleen bennett</v>
      </c>
      <c r="AB134" s="40"/>
    </row>
    <row r="135" spans="1:28" ht="16.5" customHeight="1" x14ac:dyDescent="0.35">
      <c r="A135" s="31" t="s">
        <v>274</v>
      </c>
      <c r="B135" s="22">
        <v>45588</v>
      </c>
      <c r="C135" s="22" t="s">
        <v>154</v>
      </c>
      <c r="D135" s="22" t="s">
        <v>155</v>
      </c>
      <c r="E135" s="22" t="s">
        <v>80</v>
      </c>
      <c r="F135" s="22" t="s">
        <v>81</v>
      </c>
      <c r="G135" s="22" t="s">
        <v>19</v>
      </c>
      <c r="H135" s="22">
        <v>2</v>
      </c>
      <c r="I135" s="22" t="s">
        <v>21</v>
      </c>
      <c r="J135" s="22">
        <v>699.99</v>
      </c>
      <c r="K135" s="22" t="s">
        <v>20</v>
      </c>
      <c r="L135" s="22" t="s">
        <v>22</v>
      </c>
      <c r="M135" s="22">
        <v>1399.98</v>
      </c>
      <c r="N135" s="32">
        <v>44992</v>
      </c>
      <c r="O135" s="41"/>
      <c r="S135" s="27">
        <f t="shared" ca="1" si="20"/>
        <v>45985</v>
      </c>
      <c r="T135" s="19">
        <f t="shared" ca="1" si="21"/>
        <v>45985.990154629631</v>
      </c>
      <c r="U135" s="15">
        <f t="shared" ca="1" si="27"/>
        <v>2</v>
      </c>
      <c r="V135" s="20">
        <f t="shared" ca="1" si="22"/>
        <v>44992</v>
      </c>
      <c r="W135" s="20">
        <f t="shared" si="23"/>
        <v>45107</v>
      </c>
      <c r="Y135" s="15" t="str">
        <f t="shared" si="24"/>
        <v>SD</v>
      </c>
      <c r="Z135" s="15" t="str">
        <f t="shared" si="25"/>
        <v>SARAH DAVIS</v>
      </c>
      <c r="AA135" s="15" t="str">
        <f t="shared" si="26"/>
        <v>sarah davis</v>
      </c>
      <c r="AB135" s="40"/>
    </row>
    <row r="136" spans="1:28" ht="16.5" customHeight="1" x14ac:dyDescent="0.35">
      <c r="A136" s="31" t="s">
        <v>275</v>
      </c>
      <c r="B136" s="22">
        <v>45589</v>
      </c>
      <c r="C136" s="22" t="s">
        <v>158</v>
      </c>
      <c r="D136" s="22" t="s">
        <v>159</v>
      </c>
      <c r="E136" s="22" t="s">
        <v>80</v>
      </c>
      <c r="F136" s="22" t="s">
        <v>81</v>
      </c>
      <c r="G136" s="22" t="s">
        <v>19</v>
      </c>
      <c r="H136" s="22">
        <v>5</v>
      </c>
      <c r="I136" s="22" t="s">
        <v>40</v>
      </c>
      <c r="J136" s="22">
        <v>699.99</v>
      </c>
      <c r="K136" s="22" t="s">
        <v>20</v>
      </c>
      <c r="L136" s="22" t="s">
        <v>27</v>
      </c>
      <c r="M136" s="22">
        <v>3499.95</v>
      </c>
      <c r="N136" s="32">
        <v>44635</v>
      </c>
      <c r="O136" s="41"/>
      <c r="S136" s="26">
        <f t="shared" ca="1" si="20"/>
        <v>45985</v>
      </c>
      <c r="T136" s="19">
        <f t="shared" ca="1" si="21"/>
        <v>45985.990154513885</v>
      </c>
      <c r="U136" s="15">
        <f t="shared" ca="1" si="27"/>
        <v>3</v>
      </c>
      <c r="V136" s="20">
        <f t="shared" ca="1" si="22"/>
        <v>44635</v>
      </c>
      <c r="W136" s="20">
        <f t="shared" si="23"/>
        <v>44742</v>
      </c>
      <c r="Y136" s="15" t="str">
        <f t="shared" si="24"/>
        <v>BC</v>
      </c>
      <c r="Z136" s="15" t="str">
        <f t="shared" si="25"/>
        <v>BETTY CAMPBELL</v>
      </c>
      <c r="AA136" s="15" t="str">
        <f t="shared" si="26"/>
        <v>betty campbell</v>
      </c>
      <c r="AB136" s="40"/>
    </row>
    <row r="137" spans="1:28" ht="16.5" customHeight="1" x14ac:dyDescent="0.35">
      <c r="A137" s="31" t="s">
        <v>276</v>
      </c>
      <c r="B137" s="22">
        <v>45592</v>
      </c>
      <c r="C137" s="22" t="s">
        <v>171</v>
      </c>
      <c r="D137" s="22" t="s">
        <v>172</v>
      </c>
      <c r="E137" s="22" t="s">
        <v>117</v>
      </c>
      <c r="F137" s="22" t="s">
        <v>118</v>
      </c>
      <c r="G137" s="22" t="s">
        <v>19</v>
      </c>
      <c r="H137" s="22">
        <v>3</v>
      </c>
      <c r="I137" s="22" t="s">
        <v>40</v>
      </c>
      <c r="J137" s="22">
        <v>89.99</v>
      </c>
      <c r="K137" s="22" t="s">
        <v>26</v>
      </c>
      <c r="L137" s="22" t="s">
        <v>36</v>
      </c>
      <c r="M137" s="22">
        <v>269.97000000000003</v>
      </c>
      <c r="N137" s="32">
        <v>44615</v>
      </c>
      <c r="O137" s="41"/>
      <c r="S137" s="27">
        <f t="shared" ca="1" si="20"/>
        <v>45985</v>
      </c>
      <c r="T137" s="19">
        <f t="shared" ca="1" si="21"/>
        <v>45985.990154629631</v>
      </c>
      <c r="U137" s="15">
        <f t="shared" ca="1" si="27"/>
        <v>3</v>
      </c>
      <c r="V137" s="20">
        <f t="shared" ca="1" si="22"/>
        <v>44615</v>
      </c>
      <c r="W137" s="20">
        <f t="shared" si="23"/>
        <v>44712</v>
      </c>
      <c r="Y137" s="15" t="str">
        <f t="shared" si="24"/>
        <v>RR</v>
      </c>
      <c r="Z137" s="15" t="str">
        <f t="shared" si="25"/>
        <v>RAYMOND ROSS</v>
      </c>
      <c r="AA137" s="15" t="str">
        <f t="shared" si="26"/>
        <v>raymond ross</v>
      </c>
      <c r="AB137" s="40"/>
    </row>
    <row r="138" spans="1:28" ht="16.5" customHeight="1" x14ac:dyDescent="0.35">
      <c r="A138" s="31" t="s">
        <v>277</v>
      </c>
      <c r="B138" s="22">
        <v>45597</v>
      </c>
      <c r="C138" s="22" t="s">
        <v>15</v>
      </c>
      <c r="D138" s="22" t="s">
        <v>16</v>
      </c>
      <c r="E138" s="22" t="s">
        <v>17</v>
      </c>
      <c r="F138" s="22" t="s">
        <v>18</v>
      </c>
      <c r="G138" s="22" t="s">
        <v>19</v>
      </c>
      <c r="H138" s="22">
        <v>5</v>
      </c>
      <c r="I138" s="22" t="s">
        <v>35</v>
      </c>
      <c r="J138" s="22">
        <v>249.99</v>
      </c>
      <c r="K138" s="22" t="s">
        <v>26</v>
      </c>
      <c r="L138" s="22" t="s">
        <v>36</v>
      </c>
      <c r="M138" s="22">
        <v>1249.95</v>
      </c>
      <c r="N138" s="32">
        <v>44881</v>
      </c>
      <c r="O138" s="41"/>
      <c r="S138" s="26">
        <f t="shared" ca="1" si="20"/>
        <v>45985</v>
      </c>
      <c r="T138" s="19">
        <f t="shared" ca="1" si="21"/>
        <v>45985.990154513885</v>
      </c>
      <c r="U138" s="15">
        <f t="shared" ca="1" si="27"/>
        <v>3</v>
      </c>
      <c r="V138" s="20">
        <f t="shared" ca="1" si="22"/>
        <v>44881</v>
      </c>
      <c r="W138" s="20">
        <f t="shared" si="23"/>
        <v>44985</v>
      </c>
      <c r="Y138" s="15" t="str">
        <f t="shared" si="24"/>
        <v>PB</v>
      </c>
      <c r="Z138" s="15" t="str">
        <f t="shared" si="25"/>
        <v>PAUL BAKER</v>
      </c>
      <c r="AA138" s="15" t="str">
        <f t="shared" si="26"/>
        <v>paul baker</v>
      </c>
      <c r="AB138" s="40"/>
    </row>
    <row r="139" spans="1:28" ht="16.5" customHeight="1" x14ac:dyDescent="0.35">
      <c r="A139" s="31" t="s">
        <v>278</v>
      </c>
      <c r="B139" s="22">
        <v>45600</v>
      </c>
      <c r="C139" s="22" t="s">
        <v>65</v>
      </c>
      <c r="D139" s="22" t="s">
        <v>66</v>
      </c>
      <c r="E139" s="22" t="s">
        <v>105</v>
      </c>
      <c r="F139" s="22" t="s">
        <v>106</v>
      </c>
      <c r="G139" s="22" t="s">
        <v>46</v>
      </c>
      <c r="H139" s="22">
        <v>3</v>
      </c>
      <c r="I139" s="22" t="s">
        <v>35</v>
      </c>
      <c r="J139" s="22">
        <v>299.99</v>
      </c>
      <c r="K139" s="22" t="s">
        <v>26</v>
      </c>
      <c r="L139" s="22" t="s">
        <v>36</v>
      </c>
      <c r="M139" s="22">
        <v>899.97</v>
      </c>
      <c r="N139" s="32">
        <v>44502</v>
      </c>
      <c r="O139" s="41"/>
      <c r="S139" s="27">
        <f t="shared" ca="1" si="20"/>
        <v>45985</v>
      </c>
      <c r="T139" s="19">
        <f t="shared" ca="1" si="21"/>
        <v>45985.990154629631</v>
      </c>
      <c r="U139" s="15">
        <f t="shared" ca="1" si="27"/>
        <v>4</v>
      </c>
      <c r="V139" s="20">
        <f t="shared" ca="1" si="22"/>
        <v>44502</v>
      </c>
      <c r="W139" s="20">
        <f t="shared" si="23"/>
        <v>44620</v>
      </c>
      <c r="Y139" s="15" t="str">
        <f t="shared" si="24"/>
        <v>KH</v>
      </c>
      <c r="Z139" s="15" t="str">
        <f t="shared" si="25"/>
        <v>KAREN HILL</v>
      </c>
      <c r="AA139" s="15" t="str">
        <f t="shared" si="26"/>
        <v>karen hill</v>
      </c>
      <c r="AB139" s="40"/>
    </row>
    <row r="140" spans="1:28" ht="16.5" customHeight="1" x14ac:dyDescent="0.35">
      <c r="A140" s="31" t="s">
        <v>279</v>
      </c>
      <c r="B140" s="22">
        <v>45603</v>
      </c>
      <c r="C140" s="22" t="s">
        <v>99</v>
      </c>
      <c r="D140" s="22" t="s">
        <v>100</v>
      </c>
      <c r="E140" s="22" t="s">
        <v>117</v>
      </c>
      <c r="F140" s="22" t="s">
        <v>118</v>
      </c>
      <c r="G140" s="22" t="s">
        <v>19</v>
      </c>
      <c r="H140" s="22">
        <v>3</v>
      </c>
      <c r="I140" s="22" t="s">
        <v>40</v>
      </c>
      <c r="J140" s="22">
        <v>89.99</v>
      </c>
      <c r="K140" s="22" t="s">
        <v>26</v>
      </c>
      <c r="L140" s="22" t="s">
        <v>27</v>
      </c>
      <c r="M140" s="22">
        <v>269.97000000000003</v>
      </c>
      <c r="N140" s="32">
        <v>44420</v>
      </c>
      <c r="O140" s="41"/>
      <c r="S140" s="26">
        <f t="shared" ca="1" si="20"/>
        <v>45985</v>
      </c>
      <c r="T140" s="19">
        <f t="shared" ca="1" si="21"/>
        <v>45985.990154513885</v>
      </c>
      <c r="U140" s="15">
        <f t="shared" ca="1" si="27"/>
        <v>4</v>
      </c>
      <c r="V140" s="20">
        <f t="shared" ca="1" si="22"/>
        <v>44420</v>
      </c>
      <c r="W140" s="20">
        <f t="shared" si="23"/>
        <v>44530</v>
      </c>
      <c r="Y140" s="15" t="str">
        <f t="shared" si="24"/>
        <v>PM</v>
      </c>
      <c r="Z140" s="15" t="str">
        <f t="shared" si="25"/>
        <v>PATRICIA MOORE</v>
      </c>
      <c r="AA140" s="15" t="str">
        <f t="shared" si="26"/>
        <v>patricia moore</v>
      </c>
      <c r="AB140" s="40"/>
    </row>
    <row r="141" spans="1:28" ht="16.5" customHeight="1" x14ac:dyDescent="0.35">
      <c r="A141" s="31" t="s">
        <v>280</v>
      </c>
      <c r="B141" s="22">
        <v>45604</v>
      </c>
      <c r="C141" s="22" t="s">
        <v>89</v>
      </c>
      <c r="D141" s="22" t="s">
        <v>90</v>
      </c>
      <c r="E141" s="22" t="s">
        <v>44</v>
      </c>
      <c r="F141" s="22" t="s">
        <v>45</v>
      </c>
      <c r="G141" s="22" t="s">
        <v>46</v>
      </c>
      <c r="H141" s="22">
        <v>2</v>
      </c>
      <c r="I141" s="22" t="s">
        <v>50</v>
      </c>
      <c r="J141" s="22">
        <v>149.99</v>
      </c>
      <c r="K141" s="22" t="s">
        <v>26</v>
      </c>
      <c r="L141" s="22" t="s">
        <v>27</v>
      </c>
      <c r="M141" s="22">
        <v>299.98</v>
      </c>
      <c r="N141" s="32">
        <v>44848</v>
      </c>
      <c r="O141" s="41"/>
      <c r="S141" s="27">
        <f t="shared" ca="1" si="20"/>
        <v>45985</v>
      </c>
      <c r="T141" s="19">
        <f t="shared" ca="1" si="21"/>
        <v>45985.990154629631</v>
      </c>
      <c r="U141" s="15">
        <f t="shared" ca="1" si="27"/>
        <v>3</v>
      </c>
      <c r="V141" s="20">
        <f t="shared" ca="1" si="22"/>
        <v>44848</v>
      </c>
      <c r="W141" s="20">
        <f t="shared" si="23"/>
        <v>44957</v>
      </c>
      <c r="Y141" s="15" t="str">
        <f t="shared" si="24"/>
        <v>MG</v>
      </c>
      <c r="Z141" s="15" t="str">
        <f t="shared" si="25"/>
        <v>MARIA GARCIA</v>
      </c>
      <c r="AA141" s="15" t="str">
        <f t="shared" si="26"/>
        <v>maria garcia</v>
      </c>
      <c r="AB141" s="40"/>
    </row>
    <row r="142" spans="1:28" ht="16.5" customHeight="1" x14ac:dyDescent="0.35">
      <c r="A142" s="31" t="s">
        <v>281</v>
      </c>
      <c r="B142" s="22">
        <v>45605</v>
      </c>
      <c r="C142" s="22" t="s">
        <v>185</v>
      </c>
      <c r="D142" s="22" t="s">
        <v>186</v>
      </c>
      <c r="E142" s="22" t="s">
        <v>17</v>
      </c>
      <c r="F142" s="22" t="s">
        <v>18</v>
      </c>
      <c r="G142" s="22" t="s">
        <v>19</v>
      </c>
      <c r="H142" s="22">
        <v>1</v>
      </c>
      <c r="I142" s="22" t="s">
        <v>40</v>
      </c>
      <c r="J142" s="22">
        <v>249.99</v>
      </c>
      <c r="K142" s="22" t="s">
        <v>26</v>
      </c>
      <c r="L142" s="22" t="s">
        <v>27</v>
      </c>
      <c r="M142" s="22">
        <v>249.99</v>
      </c>
      <c r="N142" s="32">
        <v>44828</v>
      </c>
      <c r="O142" s="41"/>
      <c r="S142" s="26">
        <f t="shared" ca="1" si="20"/>
        <v>45985</v>
      </c>
      <c r="T142" s="19">
        <f t="shared" ca="1" si="21"/>
        <v>45985.990154513885</v>
      </c>
      <c r="U142" s="15">
        <f t="shared" ca="1" si="27"/>
        <v>3</v>
      </c>
      <c r="V142" s="20">
        <f t="shared" ca="1" si="22"/>
        <v>44828</v>
      </c>
      <c r="W142" s="20">
        <f t="shared" si="23"/>
        <v>44926</v>
      </c>
      <c r="Y142" s="15" t="str">
        <f t="shared" si="24"/>
        <v>MW</v>
      </c>
      <c r="Z142" s="15" t="str">
        <f t="shared" si="25"/>
        <v>MARGARET WRIGHT</v>
      </c>
      <c r="AA142" s="15" t="str">
        <f t="shared" si="26"/>
        <v>margaret wright</v>
      </c>
      <c r="AB142" s="40"/>
    </row>
    <row r="143" spans="1:28" ht="16.5" customHeight="1" x14ac:dyDescent="0.35">
      <c r="A143" s="31" t="s">
        <v>282</v>
      </c>
      <c r="B143" s="22">
        <v>45607</v>
      </c>
      <c r="C143" s="22" t="s">
        <v>72</v>
      </c>
      <c r="D143" s="22" t="s">
        <v>73</v>
      </c>
      <c r="E143" s="22" t="s">
        <v>52</v>
      </c>
      <c r="F143" s="22" t="s">
        <v>53</v>
      </c>
      <c r="G143" s="22" t="s">
        <v>19</v>
      </c>
      <c r="H143" s="22">
        <v>3</v>
      </c>
      <c r="I143" s="22" t="s">
        <v>40</v>
      </c>
      <c r="J143" s="22">
        <v>149.99</v>
      </c>
      <c r="K143" s="22" t="s">
        <v>20</v>
      </c>
      <c r="L143" s="22" t="s">
        <v>22</v>
      </c>
      <c r="M143" s="22">
        <v>449.97</v>
      </c>
      <c r="N143" s="32">
        <v>44769</v>
      </c>
      <c r="O143" s="41"/>
      <c r="S143" s="27">
        <f t="shared" ca="1" si="20"/>
        <v>45985</v>
      </c>
      <c r="T143" s="19">
        <f t="shared" ca="1" si="21"/>
        <v>45985.990154629631</v>
      </c>
      <c r="U143" s="15">
        <f t="shared" ca="1" si="27"/>
        <v>3</v>
      </c>
      <c r="V143" s="20">
        <f t="shared" ca="1" si="22"/>
        <v>44769</v>
      </c>
      <c r="W143" s="20">
        <f t="shared" si="23"/>
        <v>44865</v>
      </c>
      <c r="Y143" s="15" t="str">
        <f t="shared" si="24"/>
        <v>PR</v>
      </c>
      <c r="Z143" s="15" t="str">
        <f t="shared" si="25"/>
        <v>PETER RICHARDSON</v>
      </c>
      <c r="AA143" s="15" t="str">
        <f t="shared" si="26"/>
        <v>peter richardson</v>
      </c>
      <c r="AB143" s="40"/>
    </row>
    <row r="144" spans="1:28" ht="16.5" customHeight="1" x14ac:dyDescent="0.35">
      <c r="A144" s="31" t="s">
        <v>283</v>
      </c>
      <c r="B144" s="22">
        <v>45607</v>
      </c>
      <c r="C144" s="22" t="s">
        <v>15</v>
      </c>
      <c r="D144" s="22" t="s">
        <v>16</v>
      </c>
      <c r="E144" s="22" t="s">
        <v>31</v>
      </c>
      <c r="F144" s="22" t="s">
        <v>32</v>
      </c>
      <c r="G144" s="22" t="s">
        <v>33</v>
      </c>
      <c r="H144" s="22">
        <v>5</v>
      </c>
      <c r="I144" s="22" t="s">
        <v>50</v>
      </c>
      <c r="J144" s="22">
        <v>59.99</v>
      </c>
      <c r="K144" s="22" t="s">
        <v>34</v>
      </c>
      <c r="L144" s="22" t="s">
        <v>27</v>
      </c>
      <c r="M144" s="22">
        <v>299.95</v>
      </c>
      <c r="N144" s="32">
        <v>44694</v>
      </c>
      <c r="O144" s="41"/>
      <c r="S144" s="26">
        <f t="shared" ca="1" si="20"/>
        <v>45985</v>
      </c>
      <c r="T144" s="19">
        <f t="shared" ca="1" si="21"/>
        <v>45985.990154513885</v>
      </c>
      <c r="U144" s="15">
        <f t="shared" ca="1" si="27"/>
        <v>3</v>
      </c>
      <c r="V144" s="20">
        <f t="shared" ca="1" si="22"/>
        <v>44694</v>
      </c>
      <c r="W144" s="20">
        <f t="shared" si="23"/>
        <v>44804</v>
      </c>
      <c r="Y144" s="15" t="str">
        <f t="shared" si="24"/>
        <v>PB</v>
      </c>
      <c r="Z144" s="15" t="str">
        <f t="shared" si="25"/>
        <v>PAUL BAKER</v>
      </c>
      <c r="AA144" s="15" t="str">
        <f t="shared" si="26"/>
        <v>paul baker</v>
      </c>
      <c r="AB144" s="40"/>
    </row>
    <row r="145" spans="1:28" ht="16.5" customHeight="1" x14ac:dyDescent="0.35">
      <c r="A145" s="31" t="s">
        <v>284</v>
      </c>
      <c r="B145" s="22">
        <v>45607</v>
      </c>
      <c r="C145" s="22" t="s">
        <v>99</v>
      </c>
      <c r="D145" s="22" t="s">
        <v>100</v>
      </c>
      <c r="E145" s="22" t="s">
        <v>17</v>
      </c>
      <c r="F145" s="22" t="s">
        <v>18</v>
      </c>
      <c r="G145" s="22" t="s">
        <v>19</v>
      </c>
      <c r="H145" s="22">
        <v>4</v>
      </c>
      <c r="I145" s="22" t="s">
        <v>50</v>
      </c>
      <c r="J145" s="22">
        <v>249.99</v>
      </c>
      <c r="K145" s="22" t="s">
        <v>26</v>
      </c>
      <c r="L145" s="22" t="s">
        <v>36</v>
      </c>
      <c r="M145" s="22">
        <v>999.96</v>
      </c>
      <c r="N145" s="32">
        <v>44659</v>
      </c>
      <c r="O145" s="41"/>
      <c r="S145" s="27">
        <f t="shared" ca="1" si="20"/>
        <v>45985</v>
      </c>
      <c r="T145" s="19">
        <f t="shared" ca="1" si="21"/>
        <v>45985.990154629631</v>
      </c>
      <c r="U145" s="15">
        <f t="shared" ca="1" si="27"/>
        <v>3</v>
      </c>
      <c r="V145" s="20">
        <f t="shared" ca="1" si="22"/>
        <v>44659</v>
      </c>
      <c r="W145" s="20">
        <f t="shared" si="23"/>
        <v>44773</v>
      </c>
      <c r="Y145" s="15" t="str">
        <f t="shared" si="24"/>
        <v>PM</v>
      </c>
      <c r="Z145" s="15" t="str">
        <f t="shared" si="25"/>
        <v>PATRICIA MOORE</v>
      </c>
      <c r="AA145" s="15" t="str">
        <f t="shared" si="26"/>
        <v>patricia moore</v>
      </c>
      <c r="AB145" s="40"/>
    </row>
    <row r="146" spans="1:28" ht="16.5" customHeight="1" x14ac:dyDescent="0.35">
      <c r="A146" s="31" t="s">
        <v>285</v>
      </c>
      <c r="B146" s="22">
        <v>45608</v>
      </c>
      <c r="C146" s="22" t="s">
        <v>154</v>
      </c>
      <c r="D146" s="22" t="s">
        <v>155</v>
      </c>
      <c r="E146" s="22" t="s">
        <v>44</v>
      </c>
      <c r="F146" s="22" t="s">
        <v>45</v>
      </c>
      <c r="G146" s="22" t="s">
        <v>46</v>
      </c>
      <c r="H146" s="22">
        <v>5</v>
      </c>
      <c r="I146" s="22" t="s">
        <v>21</v>
      </c>
      <c r="J146" s="22">
        <v>149.99</v>
      </c>
      <c r="K146" s="22" t="s">
        <v>34</v>
      </c>
      <c r="L146" s="22" t="s">
        <v>22</v>
      </c>
      <c r="M146" s="22">
        <v>749.95</v>
      </c>
      <c r="N146" s="32">
        <v>44901</v>
      </c>
      <c r="O146" s="41"/>
      <c r="S146" s="26">
        <f t="shared" ca="1" si="20"/>
        <v>45985</v>
      </c>
      <c r="T146" s="19">
        <f t="shared" ca="1" si="21"/>
        <v>45985.990154513885</v>
      </c>
      <c r="U146" s="15">
        <f t="shared" ca="1" si="27"/>
        <v>2</v>
      </c>
      <c r="V146" s="20">
        <f t="shared" ca="1" si="22"/>
        <v>44901</v>
      </c>
      <c r="W146" s="20">
        <f t="shared" si="23"/>
        <v>45016</v>
      </c>
      <c r="Y146" s="15" t="str">
        <f t="shared" si="24"/>
        <v>SD</v>
      </c>
      <c r="Z146" s="15" t="str">
        <f t="shared" si="25"/>
        <v>SARAH DAVIS</v>
      </c>
      <c r="AA146" s="15" t="str">
        <f t="shared" si="26"/>
        <v>sarah davis</v>
      </c>
      <c r="AB146" s="40"/>
    </row>
    <row r="147" spans="1:28" ht="16.5" customHeight="1" x14ac:dyDescent="0.35">
      <c r="A147" s="31" t="s">
        <v>286</v>
      </c>
      <c r="B147" s="22">
        <v>45608</v>
      </c>
      <c r="C147" s="22" t="s">
        <v>83</v>
      </c>
      <c r="D147" s="22" t="s">
        <v>84</v>
      </c>
      <c r="E147" s="22" t="s">
        <v>31</v>
      </c>
      <c r="F147" s="22" t="s">
        <v>32</v>
      </c>
      <c r="G147" s="22" t="s">
        <v>33</v>
      </c>
      <c r="H147" s="22">
        <v>3</v>
      </c>
      <c r="I147" s="22" t="s">
        <v>35</v>
      </c>
      <c r="J147" s="22">
        <v>59.99</v>
      </c>
      <c r="K147" s="22" t="s">
        <v>57</v>
      </c>
      <c r="L147" s="22" t="s">
        <v>36</v>
      </c>
      <c r="M147" s="22">
        <v>179.97</v>
      </c>
      <c r="N147" s="32">
        <v>45260</v>
      </c>
      <c r="O147" s="41"/>
      <c r="S147" s="27">
        <f t="shared" ca="1" si="20"/>
        <v>45985</v>
      </c>
      <c r="T147" s="19">
        <f t="shared" ca="1" si="21"/>
        <v>45985.990154629631</v>
      </c>
      <c r="U147" s="15">
        <f t="shared" ca="1" si="27"/>
        <v>1</v>
      </c>
      <c r="V147" s="20">
        <f t="shared" ca="1" si="22"/>
        <v>45260</v>
      </c>
      <c r="W147" s="20">
        <f t="shared" si="23"/>
        <v>45351</v>
      </c>
      <c r="Y147" s="15" t="str">
        <f t="shared" si="24"/>
        <v>GA</v>
      </c>
      <c r="Z147" s="15" t="str">
        <f t="shared" si="25"/>
        <v>GEORGE ADAMS</v>
      </c>
      <c r="AA147" s="15" t="str">
        <f t="shared" si="26"/>
        <v>george adams</v>
      </c>
      <c r="AB147" s="40"/>
    </row>
    <row r="148" spans="1:28" ht="16.5" customHeight="1" x14ac:dyDescent="0.35">
      <c r="A148" s="31" t="s">
        <v>287</v>
      </c>
      <c r="B148" s="22">
        <v>45613</v>
      </c>
      <c r="C148" s="22" t="s">
        <v>234</v>
      </c>
      <c r="D148" s="22" t="s">
        <v>235</v>
      </c>
      <c r="E148" s="22" t="s">
        <v>44</v>
      </c>
      <c r="F148" s="22" t="s">
        <v>45</v>
      </c>
      <c r="G148" s="22" t="s">
        <v>46</v>
      </c>
      <c r="H148" s="22">
        <v>5</v>
      </c>
      <c r="I148" s="22" t="s">
        <v>40</v>
      </c>
      <c r="J148" s="22">
        <v>149.99</v>
      </c>
      <c r="K148" s="22" t="s">
        <v>20</v>
      </c>
      <c r="L148" s="22" t="s">
        <v>22</v>
      </c>
      <c r="M148" s="22">
        <v>749.95</v>
      </c>
      <c r="N148" s="32">
        <v>44869</v>
      </c>
      <c r="O148" s="41"/>
      <c r="S148" s="26">
        <f t="shared" ca="1" si="20"/>
        <v>45985</v>
      </c>
      <c r="T148" s="19">
        <f t="shared" ca="1" si="21"/>
        <v>45985.990154513885</v>
      </c>
      <c r="U148" s="15">
        <f t="shared" ca="1" si="27"/>
        <v>3</v>
      </c>
      <c r="V148" s="20">
        <f t="shared" ca="1" si="22"/>
        <v>44869</v>
      </c>
      <c r="W148" s="20">
        <f t="shared" si="23"/>
        <v>44985</v>
      </c>
      <c r="Y148" s="15" t="str">
        <f t="shared" si="24"/>
        <v>SP</v>
      </c>
      <c r="Z148" s="15" t="str">
        <f t="shared" si="25"/>
        <v>SANDRA PHILLIPS</v>
      </c>
      <c r="AA148" s="15" t="str">
        <f t="shared" si="26"/>
        <v>sandra phillips</v>
      </c>
      <c r="AB148" s="40"/>
    </row>
    <row r="149" spans="1:28" ht="16.5" customHeight="1" x14ac:dyDescent="0.35">
      <c r="A149" s="31" t="s">
        <v>288</v>
      </c>
      <c r="B149" s="22">
        <v>45613</v>
      </c>
      <c r="C149" s="22" t="s">
        <v>86</v>
      </c>
      <c r="D149" s="22" t="s">
        <v>87</v>
      </c>
      <c r="E149" s="22" t="s">
        <v>80</v>
      </c>
      <c r="F149" s="22" t="s">
        <v>81</v>
      </c>
      <c r="G149" s="22" t="s">
        <v>19</v>
      </c>
      <c r="H149" s="22">
        <v>2</v>
      </c>
      <c r="I149" s="22" t="s">
        <v>50</v>
      </c>
      <c r="J149" s="22">
        <v>699.99</v>
      </c>
      <c r="K149" s="22" t="s">
        <v>34</v>
      </c>
      <c r="L149" s="22" t="s">
        <v>36</v>
      </c>
      <c r="M149" s="22">
        <v>1399.98</v>
      </c>
      <c r="N149" s="32">
        <v>44770</v>
      </c>
      <c r="O149" s="41"/>
      <c r="S149" s="27">
        <f t="shared" ca="1" si="20"/>
        <v>45985</v>
      </c>
      <c r="T149" s="19">
        <f t="shared" ca="1" si="21"/>
        <v>45985.990154629631</v>
      </c>
      <c r="U149" s="15">
        <f t="shared" ca="1" si="27"/>
        <v>3</v>
      </c>
      <c r="V149" s="20">
        <f t="shared" ca="1" si="22"/>
        <v>44770</v>
      </c>
      <c r="W149" s="20">
        <f t="shared" si="23"/>
        <v>44865</v>
      </c>
      <c r="Y149" s="15" t="str">
        <f t="shared" si="24"/>
        <v>MC</v>
      </c>
      <c r="Z149" s="15" t="str">
        <f t="shared" si="25"/>
        <v>MARK CARTER</v>
      </c>
      <c r="AA149" s="15" t="str">
        <f t="shared" si="26"/>
        <v>mark carter</v>
      </c>
      <c r="AB149" s="40"/>
    </row>
    <row r="150" spans="1:28" ht="16.5" customHeight="1" x14ac:dyDescent="0.35">
      <c r="A150" s="31" t="s">
        <v>289</v>
      </c>
      <c r="B150" s="22">
        <v>45617</v>
      </c>
      <c r="C150" s="22" t="s">
        <v>123</v>
      </c>
      <c r="D150" s="22" t="s">
        <v>124</v>
      </c>
      <c r="E150" s="22" t="s">
        <v>126</v>
      </c>
      <c r="F150" s="22" t="s">
        <v>127</v>
      </c>
      <c r="G150" s="22" t="s">
        <v>46</v>
      </c>
      <c r="H150" s="22">
        <v>4</v>
      </c>
      <c r="I150" s="22" t="s">
        <v>21</v>
      </c>
      <c r="J150" s="22">
        <v>199.99</v>
      </c>
      <c r="K150" s="22" t="s">
        <v>57</v>
      </c>
      <c r="L150" s="22" t="s">
        <v>27</v>
      </c>
      <c r="M150" s="22">
        <v>799.96</v>
      </c>
      <c r="N150" s="32">
        <v>44427</v>
      </c>
      <c r="O150" s="41"/>
      <c r="S150" s="26">
        <f t="shared" ca="1" si="20"/>
        <v>45985</v>
      </c>
      <c r="T150" s="19">
        <f t="shared" ca="1" si="21"/>
        <v>45985.990154513885</v>
      </c>
      <c r="U150" s="15">
        <f t="shared" ca="1" si="27"/>
        <v>4</v>
      </c>
      <c r="V150" s="20">
        <f t="shared" ca="1" si="22"/>
        <v>44427</v>
      </c>
      <c r="W150" s="20">
        <f t="shared" si="23"/>
        <v>44530</v>
      </c>
      <c r="Y150" s="15" t="str">
        <f t="shared" si="24"/>
        <v>EM</v>
      </c>
      <c r="Z150" s="15" t="str">
        <f t="shared" si="25"/>
        <v>EDWARD MITCHELL</v>
      </c>
      <c r="AA150" s="15" t="str">
        <f t="shared" si="26"/>
        <v>edward mitchell</v>
      </c>
      <c r="AB150" s="40"/>
    </row>
    <row r="151" spans="1:28" ht="16.5" customHeight="1" x14ac:dyDescent="0.35">
      <c r="A151" s="31" t="s">
        <v>290</v>
      </c>
      <c r="B151" s="22">
        <v>45619</v>
      </c>
      <c r="C151" s="22" t="s">
        <v>192</v>
      </c>
      <c r="D151" s="22" t="s">
        <v>193</v>
      </c>
      <c r="E151" s="22" t="s">
        <v>31</v>
      </c>
      <c r="F151" s="22" t="s">
        <v>32</v>
      </c>
      <c r="G151" s="22" t="s">
        <v>33</v>
      </c>
      <c r="H151" s="22">
        <v>1</v>
      </c>
      <c r="I151" s="22" t="s">
        <v>50</v>
      </c>
      <c r="J151" s="22">
        <v>59.99</v>
      </c>
      <c r="K151" s="22" t="s">
        <v>57</v>
      </c>
      <c r="L151" s="22" t="s">
        <v>36</v>
      </c>
      <c r="M151" s="22">
        <v>59.99</v>
      </c>
      <c r="N151" s="32">
        <v>44560</v>
      </c>
      <c r="O151" s="41"/>
      <c r="S151" s="27">
        <f t="shared" ca="1" si="20"/>
        <v>45985</v>
      </c>
      <c r="T151" s="19">
        <f t="shared" ca="1" si="21"/>
        <v>45985.990154629631</v>
      </c>
      <c r="U151" s="15">
        <f t="shared" ca="1" si="27"/>
        <v>3</v>
      </c>
      <c r="V151" s="20">
        <f t="shared" ca="1" si="22"/>
        <v>44560</v>
      </c>
      <c r="W151" s="20">
        <f t="shared" si="23"/>
        <v>44651</v>
      </c>
      <c r="Y151" s="15" t="str">
        <f t="shared" si="24"/>
        <v>FT</v>
      </c>
      <c r="Z151" s="15" t="str">
        <f t="shared" si="25"/>
        <v>FRANK TORRES</v>
      </c>
      <c r="AA151" s="15" t="str">
        <f t="shared" si="26"/>
        <v>frank torres</v>
      </c>
      <c r="AB151" s="40"/>
    </row>
    <row r="152" spans="1:28" ht="16.5" customHeight="1" x14ac:dyDescent="0.35">
      <c r="A152" s="31" t="s">
        <v>291</v>
      </c>
      <c r="B152" s="22">
        <v>45619</v>
      </c>
      <c r="C152" s="22" t="s">
        <v>154</v>
      </c>
      <c r="D152" s="22" t="s">
        <v>155</v>
      </c>
      <c r="E152" s="22" t="s">
        <v>80</v>
      </c>
      <c r="F152" s="22" t="s">
        <v>81</v>
      </c>
      <c r="G152" s="22" t="s">
        <v>19</v>
      </c>
      <c r="H152" s="22">
        <v>3</v>
      </c>
      <c r="I152" s="22" t="s">
        <v>50</v>
      </c>
      <c r="J152" s="22">
        <v>699.99</v>
      </c>
      <c r="K152" s="22" t="s">
        <v>34</v>
      </c>
      <c r="L152" s="22" t="s">
        <v>36</v>
      </c>
      <c r="M152" s="22">
        <v>2099.9699999999998</v>
      </c>
      <c r="N152" s="32">
        <v>44583</v>
      </c>
      <c r="O152" s="41"/>
      <c r="S152" s="26">
        <f t="shared" ca="1" si="20"/>
        <v>45985</v>
      </c>
      <c r="T152" s="19">
        <f t="shared" ca="1" si="21"/>
        <v>45985.990154513885</v>
      </c>
      <c r="U152" s="15">
        <f t="shared" ca="1" si="27"/>
        <v>3</v>
      </c>
      <c r="V152" s="20">
        <f t="shared" ca="1" si="22"/>
        <v>44583</v>
      </c>
      <c r="W152" s="20">
        <f t="shared" si="23"/>
        <v>44681</v>
      </c>
      <c r="Y152" s="15" t="str">
        <f t="shared" si="24"/>
        <v>SD</v>
      </c>
      <c r="Z152" s="15" t="str">
        <f t="shared" si="25"/>
        <v>SARAH DAVIS</v>
      </c>
      <c r="AA152" s="15" t="str">
        <f t="shared" si="26"/>
        <v>sarah davis</v>
      </c>
      <c r="AB152" s="40"/>
    </row>
    <row r="153" spans="1:28" ht="16.5" customHeight="1" x14ac:dyDescent="0.35">
      <c r="A153" s="31" t="s">
        <v>292</v>
      </c>
      <c r="B153" s="22">
        <v>45622</v>
      </c>
      <c r="C153" s="22" t="s">
        <v>293</v>
      </c>
      <c r="D153" s="22" t="s">
        <v>294</v>
      </c>
      <c r="E153" s="22" t="s">
        <v>17</v>
      </c>
      <c r="F153" s="22" t="s">
        <v>18</v>
      </c>
      <c r="G153" s="22" t="s">
        <v>19</v>
      </c>
      <c r="H153" s="22">
        <v>5</v>
      </c>
      <c r="I153" s="22" t="s">
        <v>40</v>
      </c>
      <c r="J153" s="22">
        <v>249.99</v>
      </c>
      <c r="K153" s="22" t="s">
        <v>26</v>
      </c>
      <c r="L153" s="22" t="s">
        <v>22</v>
      </c>
      <c r="M153" s="22">
        <v>1249.95</v>
      </c>
      <c r="N153" s="32">
        <v>44873</v>
      </c>
      <c r="O153" s="41"/>
      <c r="S153" s="27">
        <f t="shared" ca="1" si="20"/>
        <v>45985</v>
      </c>
      <c r="T153" s="19">
        <f t="shared" ca="1" si="21"/>
        <v>45985.990154629631</v>
      </c>
      <c r="U153" s="15">
        <f t="shared" ca="1" si="27"/>
        <v>3</v>
      </c>
      <c r="V153" s="20">
        <f t="shared" ca="1" si="22"/>
        <v>44873</v>
      </c>
      <c r="W153" s="20">
        <f t="shared" si="23"/>
        <v>44985</v>
      </c>
      <c r="Y153" s="15" t="str">
        <f t="shared" si="24"/>
        <v>DW</v>
      </c>
      <c r="Z153" s="15" t="str">
        <f t="shared" si="25"/>
        <v>DOUGLAS WATSON</v>
      </c>
      <c r="AA153" s="15" t="str">
        <f t="shared" si="26"/>
        <v>douglas watson</v>
      </c>
      <c r="AB153" s="40"/>
    </row>
    <row r="154" spans="1:28" ht="16.5" customHeight="1" x14ac:dyDescent="0.35">
      <c r="A154" s="31" t="s">
        <v>295</v>
      </c>
      <c r="B154" s="22">
        <v>45623</v>
      </c>
      <c r="C154" s="22" t="s">
        <v>112</v>
      </c>
      <c r="D154" s="22" t="s">
        <v>113</v>
      </c>
      <c r="E154" s="22" t="s">
        <v>44</v>
      </c>
      <c r="F154" s="22" t="s">
        <v>45</v>
      </c>
      <c r="G154" s="22" t="s">
        <v>46</v>
      </c>
      <c r="H154" s="22">
        <v>2</v>
      </c>
      <c r="I154" s="22" t="s">
        <v>35</v>
      </c>
      <c r="J154" s="22">
        <v>149.99</v>
      </c>
      <c r="K154" s="22" t="s">
        <v>20</v>
      </c>
      <c r="L154" s="22" t="s">
        <v>36</v>
      </c>
      <c r="M154" s="22">
        <v>299.98</v>
      </c>
      <c r="N154" s="32">
        <v>45101</v>
      </c>
      <c r="O154" s="41"/>
      <c r="S154" s="26">
        <f t="shared" ca="1" si="20"/>
        <v>45985</v>
      </c>
      <c r="T154" s="19">
        <f t="shared" ca="1" si="21"/>
        <v>45985.990154513885</v>
      </c>
      <c r="U154" s="15">
        <f t="shared" ca="1" si="27"/>
        <v>2</v>
      </c>
      <c r="V154" s="20">
        <f t="shared" ca="1" si="22"/>
        <v>45101</v>
      </c>
      <c r="W154" s="20">
        <f t="shared" si="23"/>
        <v>45199</v>
      </c>
      <c r="Y154" s="15" t="str">
        <f t="shared" si="24"/>
        <v>LM</v>
      </c>
      <c r="Z154" s="15" t="str">
        <f t="shared" si="25"/>
        <v>LINDA MARTIN</v>
      </c>
      <c r="AA154" s="15" t="str">
        <f t="shared" si="26"/>
        <v>linda martin</v>
      </c>
      <c r="AB154" s="40"/>
    </row>
    <row r="155" spans="1:28" ht="16.5" customHeight="1" x14ac:dyDescent="0.35">
      <c r="A155" s="31" t="s">
        <v>296</v>
      </c>
      <c r="B155" s="22">
        <v>45627</v>
      </c>
      <c r="C155" s="22" t="s">
        <v>29</v>
      </c>
      <c r="D155" s="22" t="s">
        <v>30</v>
      </c>
      <c r="E155" s="22" t="s">
        <v>105</v>
      </c>
      <c r="F155" s="22" t="s">
        <v>106</v>
      </c>
      <c r="G155" s="22" t="s">
        <v>46</v>
      </c>
      <c r="H155" s="22">
        <v>3</v>
      </c>
      <c r="I155" s="22" t="s">
        <v>35</v>
      </c>
      <c r="J155" s="22">
        <v>299.99</v>
      </c>
      <c r="K155" s="22" t="s">
        <v>20</v>
      </c>
      <c r="L155" s="22" t="s">
        <v>27</v>
      </c>
      <c r="M155" s="22">
        <v>899.97</v>
      </c>
      <c r="N155" s="32">
        <v>44659</v>
      </c>
      <c r="O155" s="41"/>
      <c r="S155" s="27">
        <f t="shared" ca="1" si="20"/>
        <v>45985</v>
      </c>
      <c r="T155" s="19">
        <f t="shared" ca="1" si="21"/>
        <v>45985.990154629631</v>
      </c>
      <c r="U155" s="15">
        <f t="shared" ca="1" si="27"/>
        <v>3</v>
      </c>
      <c r="V155" s="20">
        <f t="shared" ca="1" si="22"/>
        <v>44659</v>
      </c>
      <c r="W155" s="20">
        <f t="shared" si="23"/>
        <v>44773</v>
      </c>
      <c r="Y155" s="15" t="str">
        <f t="shared" si="24"/>
        <v>KS</v>
      </c>
      <c r="Z155" s="15" t="str">
        <f t="shared" si="25"/>
        <v>KEVIN SCOTT</v>
      </c>
      <c r="AA155" s="15" t="str">
        <f t="shared" si="26"/>
        <v>kevin scott</v>
      </c>
      <c r="AB155" s="40"/>
    </row>
    <row r="156" spans="1:28" ht="16.5" customHeight="1" x14ac:dyDescent="0.35">
      <c r="A156" s="31" t="s">
        <v>297</v>
      </c>
      <c r="B156" s="22">
        <v>45627</v>
      </c>
      <c r="C156" s="22" t="s">
        <v>55</v>
      </c>
      <c r="D156" s="22" t="s">
        <v>56</v>
      </c>
      <c r="E156" s="22" t="s">
        <v>17</v>
      </c>
      <c r="F156" s="22" t="s">
        <v>18</v>
      </c>
      <c r="G156" s="22" t="s">
        <v>19</v>
      </c>
      <c r="H156" s="22">
        <v>5</v>
      </c>
      <c r="I156" s="22" t="s">
        <v>21</v>
      </c>
      <c r="J156" s="22">
        <v>249.99</v>
      </c>
      <c r="K156" s="22" t="s">
        <v>20</v>
      </c>
      <c r="L156" s="22" t="s">
        <v>27</v>
      </c>
      <c r="M156" s="22">
        <v>1249.95</v>
      </c>
      <c r="N156" s="32">
        <v>44485</v>
      </c>
      <c r="O156" s="41"/>
      <c r="S156" s="26">
        <f t="shared" ca="1" si="20"/>
        <v>45985</v>
      </c>
      <c r="T156" s="19">
        <f t="shared" ca="1" si="21"/>
        <v>45985.990154513885</v>
      </c>
      <c r="U156" s="15">
        <f t="shared" ca="1" si="27"/>
        <v>4</v>
      </c>
      <c r="V156" s="20">
        <f t="shared" ca="1" si="22"/>
        <v>44485</v>
      </c>
      <c r="W156" s="20">
        <f t="shared" si="23"/>
        <v>44592</v>
      </c>
      <c r="Y156" s="15" t="str">
        <f t="shared" si="24"/>
        <v>CA</v>
      </c>
      <c r="Z156" s="15" t="str">
        <f t="shared" si="25"/>
        <v>CHARLES ALLEN</v>
      </c>
      <c r="AA156" s="15" t="str">
        <f t="shared" si="26"/>
        <v>charles allen</v>
      </c>
      <c r="AB156" s="40"/>
    </row>
    <row r="157" spans="1:28" ht="16.5" customHeight="1" x14ac:dyDescent="0.35">
      <c r="A157" s="31" t="s">
        <v>298</v>
      </c>
      <c r="B157" s="22">
        <v>45627</v>
      </c>
      <c r="C157" s="22" t="s">
        <v>24</v>
      </c>
      <c r="D157" s="22" t="s">
        <v>25</v>
      </c>
      <c r="E157" s="22" t="s">
        <v>52</v>
      </c>
      <c r="F157" s="22" t="s">
        <v>53</v>
      </c>
      <c r="G157" s="22" t="s">
        <v>19</v>
      </c>
      <c r="H157" s="22">
        <v>2</v>
      </c>
      <c r="I157" s="22" t="s">
        <v>35</v>
      </c>
      <c r="J157" s="22">
        <v>149.99</v>
      </c>
      <c r="K157" s="22" t="s">
        <v>20</v>
      </c>
      <c r="L157" s="22" t="s">
        <v>27</v>
      </c>
      <c r="M157" s="22">
        <v>299.98</v>
      </c>
      <c r="N157" s="32">
        <v>44475</v>
      </c>
      <c r="O157" s="41"/>
      <c r="S157" s="27">
        <f t="shared" ca="1" si="20"/>
        <v>45985</v>
      </c>
      <c r="T157" s="19">
        <f t="shared" ca="1" si="21"/>
        <v>45985.990154629631</v>
      </c>
      <c r="U157" s="15">
        <f t="shared" ca="1" si="27"/>
        <v>4</v>
      </c>
      <c r="V157" s="20">
        <f t="shared" ca="1" si="22"/>
        <v>44475</v>
      </c>
      <c r="W157" s="20">
        <f t="shared" si="23"/>
        <v>44592</v>
      </c>
      <c r="Y157" s="15" t="str">
        <f t="shared" si="24"/>
        <v>JJ</v>
      </c>
      <c r="Z157" s="15" t="str">
        <f t="shared" si="25"/>
        <v>JOSEPH JACKSON</v>
      </c>
      <c r="AA157" s="15" t="str">
        <f t="shared" si="26"/>
        <v>joseph jackson</v>
      </c>
      <c r="AB157" s="40"/>
    </row>
    <row r="158" spans="1:28" ht="16.5" customHeight="1" x14ac:dyDescent="0.35">
      <c r="A158" s="31" t="s">
        <v>299</v>
      </c>
      <c r="B158" s="22">
        <v>45627</v>
      </c>
      <c r="C158" s="22" t="s">
        <v>86</v>
      </c>
      <c r="D158" s="22" t="s">
        <v>87</v>
      </c>
      <c r="E158" s="22" t="s">
        <v>80</v>
      </c>
      <c r="F158" s="22" t="s">
        <v>81</v>
      </c>
      <c r="G158" s="22" t="s">
        <v>19</v>
      </c>
      <c r="H158" s="22">
        <v>5</v>
      </c>
      <c r="I158" s="22" t="s">
        <v>50</v>
      </c>
      <c r="J158" s="22">
        <v>699.99</v>
      </c>
      <c r="K158" s="22" t="s">
        <v>57</v>
      </c>
      <c r="L158" s="22" t="s">
        <v>36</v>
      </c>
      <c r="M158" s="22">
        <v>3499.95</v>
      </c>
      <c r="N158" s="32">
        <v>44944</v>
      </c>
      <c r="O158" s="41"/>
      <c r="S158" s="26">
        <f t="shared" ca="1" si="20"/>
        <v>45985</v>
      </c>
      <c r="T158" s="19">
        <f t="shared" ca="1" si="21"/>
        <v>45985.990154513885</v>
      </c>
      <c r="U158" s="15">
        <f t="shared" ca="1" si="27"/>
        <v>2</v>
      </c>
      <c r="V158" s="20">
        <f t="shared" ca="1" si="22"/>
        <v>44944</v>
      </c>
      <c r="W158" s="20">
        <f t="shared" si="23"/>
        <v>45046</v>
      </c>
      <c r="Y158" s="15" t="str">
        <f t="shared" si="24"/>
        <v>MC</v>
      </c>
      <c r="Z158" s="15" t="str">
        <f t="shared" si="25"/>
        <v>MARK CARTER</v>
      </c>
      <c r="AA158" s="15" t="str">
        <f t="shared" si="26"/>
        <v>mark carter</v>
      </c>
      <c r="AB158" s="40"/>
    </row>
    <row r="159" spans="1:28" ht="16.5" customHeight="1" x14ac:dyDescent="0.35">
      <c r="A159" s="31" t="s">
        <v>300</v>
      </c>
      <c r="B159" s="22">
        <v>45629</v>
      </c>
      <c r="C159" s="22" t="s">
        <v>252</v>
      </c>
      <c r="D159" s="22" t="s">
        <v>253</v>
      </c>
      <c r="E159" s="22" t="s">
        <v>17</v>
      </c>
      <c r="F159" s="22" t="s">
        <v>18</v>
      </c>
      <c r="G159" s="22" t="s">
        <v>19</v>
      </c>
      <c r="H159" s="22">
        <v>4</v>
      </c>
      <c r="I159" s="22" t="s">
        <v>63</v>
      </c>
      <c r="J159" s="22">
        <v>249.99</v>
      </c>
      <c r="K159" s="22" t="s">
        <v>34</v>
      </c>
      <c r="L159" s="22" t="s">
        <v>27</v>
      </c>
      <c r="M159" s="22">
        <v>999.96</v>
      </c>
      <c r="N159" s="32">
        <v>45098</v>
      </c>
      <c r="O159" s="41"/>
      <c r="S159" s="27">
        <f t="shared" ca="1" si="20"/>
        <v>45985</v>
      </c>
      <c r="T159" s="19">
        <f t="shared" ca="1" si="21"/>
        <v>45985.990154629631</v>
      </c>
      <c r="U159" s="15">
        <f t="shared" ca="1" si="27"/>
        <v>2</v>
      </c>
      <c r="V159" s="20">
        <f t="shared" ca="1" si="22"/>
        <v>45098</v>
      </c>
      <c r="W159" s="20">
        <f t="shared" si="23"/>
        <v>45199</v>
      </c>
      <c r="Y159" s="15" t="str">
        <f t="shared" si="24"/>
        <v>WW</v>
      </c>
      <c r="Z159" s="15" t="str">
        <f t="shared" si="25"/>
        <v>WILLIAM WHITE</v>
      </c>
      <c r="AA159" s="15" t="str">
        <f t="shared" si="26"/>
        <v>william white</v>
      </c>
      <c r="AB159" s="40"/>
    </row>
    <row r="160" spans="1:28" ht="16.5" customHeight="1" x14ac:dyDescent="0.35">
      <c r="A160" s="31" t="s">
        <v>301</v>
      </c>
      <c r="B160" s="22">
        <v>45630</v>
      </c>
      <c r="C160" s="22" t="s">
        <v>48</v>
      </c>
      <c r="D160" s="22" t="s">
        <v>49</v>
      </c>
      <c r="E160" s="22" t="s">
        <v>80</v>
      </c>
      <c r="F160" s="22" t="s">
        <v>81</v>
      </c>
      <c r="G160" s="22" t="s">
        <v>19</v>
      </c>
      <c r="H160" s="22">
        <v>4</v>
      </c>
      <c r="I160" s="22" t="s">
        <v>40</v>
      </c>
      <c r="J160" s="22">
        <v>699.99</v>
      </c>
      <c r="K160" s="22" t="s">
        <v>26</v>
      </c>
      <c r="L160" s="22" t="s">
        <v>27</v>
      </c>
      <c r="M160" s="22">
        <v>2799.96</v>
      </c>
      <c r="N160" s="32">
        <v>44703</v>
      </c>
      <c r="O160" s="41"/>
      <c r="S160" s="26">
        <f t="shared" ca="1" si="20"/>
        <v>45985</v>
      </c>
      <c r="T160" s="19">
        <f t="shared" ca="1" si="21"/>
        <v>45985.990154513885</v>
      </c>
      <c r="U160" s="15">
        <f t="shared" ca="1" si="27"/>
        <v>3</v>
      </c>
      <c r="V160" s="20">
        <f t="shared" ca="1" si="22"/>
        <v>44703</v>
      </c>
      <c r="W160" s="20">
        <f t="shared" si="23"/>
        <v>44804</v>
      </c>
      <c r="Y160" s="15" t="str">
        <f t="shared" si="24"/>
        <v>DN</v>
      </c>
      <c r="Z160" s="15" t="str">
        <f t="shared" si="25"/>
        <v>DOROTHY NELSON</v>
      </c>
      <c r="AA160" s="15" t="str">
        <f t="shared" si="26"/>
        <v>dorothy nelson</v>
      </c>
      <c r="AB160" s="40"/>
    </row>
    <row r="161" spans="1:28" ht="16.5" customHeight="1" x14ac:dyDescent="0.35">
      <c r="A161" s="31" t="s">
        <v>302</v>
      </c>
      <c r="B161" s="22">
        <v>45635</v>
      </c>
      <c r="C161" s="22" t="s">
        <v>108</v>
      </c>
      <c r="D161" s="22" t="s">
        <v>109</v>
      </c>
      <c r="E161" s="22" t="s">
        <v>17</v>
      </c>
      <c r="F161" s="22" t="s">
        <v>18</v>
      </c>
      <c r="G161" s="22" t="s">
        <v>19</v>
      </c>
      <c r="H161" s="22">
        <v>2</v>
      </c>
      <c r="I161" s="22" t="s">
        <v>21</v>
      </c>
      <c r="J161" s="22">
        <v>249.99</v>
      </c>
      <c r="K161" s="22" t="s">
        <v>26</v>
      </c>
      <c r="L161" s="22" t="s">
        <v>27</v>
      </c>
      <c r="M161" s="22">
        <v>499.98</v>
      </c>
      <c r="N161" s="32">
        <v>44396</v>
      </c>
      <c r="O161" s="41"/>
      <c r="S161" s="27">
        <f t="shared" ca="1" si="20"/>
        <v>45985</v>
      </c>
      <c r="T161" s="19">
        <f t="shared" ca="1" si="21"/>
        <v>45985.990154629631</v>
      </c>
      <c r="U161" s="15">
        <f t="shared" ca="1" si="27"/>
        <v>4</v>
      </c>
      <c r="V161" s="20">
        <f t="shared" ca="1" si="22"/>
        <v>44396</v>
      </c>
      <c r="W161" s="20">
        <f t="shared" si="23"/>
        <v>44500</v>
      </c>
      <c r="Y161" s="15" t="str">
        <f t="shared" si="24"/>
        <v>NC</v>
      </c>
      <c r="Z161" s="15" t="str">
        <f t="shared" si="25"/>
        <v>NANCY COLLINS</v>
      </c>
      <c r="AA161" s="15" t="str">
        <f t="shared" si="26"/>
        <v>nancy collins</v>
      </c>
      <c r="AB161" s="40"/>
    </row>
    <row r="162" spans="1:28" ht="16.5" customHeight="1" x14ac:dyDescent="0.35">
      <c r="A162" s="31" t="s">
        <v>303</v>
      </c>
      <c r="B162" s="22">
        <v>45635</v>
      </c>
      <c r="C162" s="22" t="s">
        <v>304</v>
      </c>
      <c r="D162" s="22" t="s">
        <v>305</v>
      </c>
      <c r="E162" s="22" t="s">
        <v>31</v>
      </c>
      <c r="F162" s="22" t="s">
        <v>32</v>
      </c>
      <c r="G162" s="22" t="s">
        <v>33</v>
      </c>
      <c r="H162" s="22">
        <v>3</v>
      </c>
      <c r="I162" s="22" t="s">
        <v>21</v>
      </c>
      <c r="J162" s="22">
        <v>59.99</v>
      </c>
      <c r="K162" s="22" t="s">
        <v>20</v>
      </c>
      <c r="L162" s="22" t="s">
        <v>27</v>
      </c>
      <c r="M162" s="22">
        <v>179.97</v>
      </c>
      <c r="N162" s="32">
        <v>45052</v>
      </c>
      <c r="O162" s="41"/>
      <c r="S162" s="26">
        <f t="shared" ca="1" si="20"/>
        <v>45985</v>
      </c>
      <c r="T162" s="19">
        <f t="shared" ca="1" si="21"/>
        <v>45985.990154513885</v>
      </c>
      <c r="U162" s="15">
        <f t="shared" ca="1" si="27"/>
        <v>2</v>
      </c>
      <c r="V162" s="20">
        <f t="shared" ca="1" si="22"/>
        <v>45052</v>
      </c>
      <c r="W162" s="20">
        <f t="shared" si="23"/>
        <v>45169</v>
      </c>
      <c r="Y162" s="15" t="str">
        <f t="shared" si="24"/>
        <v>JJ</v>
      </c>
      <c r="Z162" s="15" t="str">
        <f t="shared" si="25"/>
        <v>JAMES JOHNSON</v>
      </c>
      <c r="AA162" s="15" t="str">
        <f t="shared" si="26"/>
        <v>james johnson</v>
      </c>
      <c r="AB162" s="40"/>
    </row>
    <row r="163" spans="1:28" ht="16.5" customHeight="1" x14ac:dyDescent="0.35">
      <c r="A163" s="31" t="s">
        <v>306</v>
      </c>
      <c r="B163" s="22">
        <v>45635</v>
      </c>
      <c r="C163" s="22" t="s">
        <v>141</v>
      </c>
      <c r="D163" s="22" t="s">
        <v>142</v>
      </c>
      <c r="E163" s="22" t="s">
        <v>114</v>
      </c>
      <c r="F163" s="22" t="s">
        <v>115</v>
      </c>
      <c r="G163" s="22" t="s">
        <v>33</v>
      </c>
      <c r="H163" s="22">
        <v>4</v>
      </c>
      <c r="I163" s="22" t="s">
        <v>63</v>
      </c>
      <c r="J163" s="22">
        <v>79.989999999999995</v>
      </c>
      <c r="K163" s="22" t="s">
        <v>57</v>
      </c>
      <c r="L163" s="22" t="s">
        <v>36</v>
      </c>
      <c r="M163" s="22">
        <v>319.95999999999998</v>
      </c>
      <c r="N163" s="32">
        <v>44921</v>
      </c>
      <c r="O163" s="41"/>
      <c r="S163" s="27">
        <f t="shared" ca="1" si="20"/>
        <v>45985</v>
      </c>
      <c r="T163" s="19">
        <f t="shared" ca="1" si="21"/>
        <v>45985.990154629631</v>
      </c>
      <c r="U163" s="15">
        <f t="shared" ca="1" si="27"/>
        <v>2</v>
      </c>
      <c r="V163" s="20">
        <f t="shared" ca="1" si="22"/>
        <v>44921</v>
      </c>
      <c r="W163" s="20">
        <f t="shared" si="23"/>
        <v>45016</v>
      </c>
      <c r="Y163" s="15" t="str">
        <f t="shared" si="24"/>
        <v>JT</v>
      </c>
      <c r="Z163" s="15" t="str">
        <f t="shared" si="25"/>
        <v>JENNIFER TAYLOR</v>
      </c>
      <c r="AA163" s="15" t="str">
        <f t="shared" si="26"/>
        <v>jennifer taylor</v>
      </c>
      <c r="AB163" s="40"/>
    </row>
    <row r="164" spans="1:28" ht="16.5" customHeight="1" x14ac:dyDescent="0.35">
      <c r="A164" s="31" t="s">
        <v>307</v>
      </c>
      <c r="B164" s="22">
        <v>45636</v>
      </c>
      <c r="C164" s="22" t="s">
        <v>120</v>
      </c>
      <c r="D164" s="22" t="s">
        <v>121</v>
      </c>
      <c r="E164" s="22" t="s">
        <v>114</v>
      </c>
      <c r="F164" s="22" t="s">
        <v>115</v>
      </c>
      <c r="G164" s="22" t="s">
        <v>33</v>
      </c>
      <c r="H164" s="22">
        <v>3</v>
      </c>
      <c r="I164" s="22" t="s">
        <v>63</v>
      </c>
      <c r="J164" s="22">
        <v>79.989999999999995</v>
      </c>
      <c r="K164" s="22" t="s">
        <v>57</v>
      </c>
      <c r="L164" s="22" t="s">
        <v>36</v>
      </c>
      <c r="M164" s="22">
        <v>239.97</v>
      </c>
      <c r="N164" s="32">
        <v>44779</v>
      </c>
      <c r="O164" s="41"/>
      <c r="S164" s="26">
        <f t="shared" ca="1" si="20"/>
        <v>45985</v>
      </c>
      <c r="T164" s="19">
        <f t="shared" ca="1" si="21"/>
        <v>45985.990154513885</v>
      </c>
      <c r="U164" s="15">
        <f t="shared" ca="1" si="27"/>
        <v>3</v>
      </c>
      <c r="V164" s="20">
        <f t="shared" ca="1" si="22"/>
        <v>44779</v>
      </c>
      <c r="W164" s="20">
        <f t="shared" si="23"/>
        <v>44895</v>
      </c>
      <c r="Y164" s="15" t="str">
        <f t="shared" si="24"/>
        <v>HR</v>
      </c>
      <c r="Z164" s="15" t="str">
        <f t="shared" si="25"/>
        <v>HELEN ROBERTS</v>
      </c>
      <c r="AA164" s="15" t="str">
        <f t="shared" si="26"/>
        <v>helen roberts</v>
      </c>
      <c r="AB164" s="40"/>
    </row>
    <row r="165" spans="1:28" ht="16.5" customHeight="1" x14ac:dyDescent="0.35">
      <c r="A165" s="31" t="s">
        <v>308</v>
      </c>
      <c r="B165" s="22">
        <v>45638</v>
      </c>
      <c r="C165" s="22" t="s">
        <v>72</v>
      </c>
      <c r="D165" s="22" t="s">
        <v>73</v>
      </c>
      <c r="E165" s="22" t="s">
        <v>61</v>
      </c>
      <c r="F165" s="22" t="s">
        <v>62</v>
      </c>
      <c r="G165" s="22" t="s">
        <v>19</v>
      </c>
      <c r="H165" s="22">
        <v>2</v>
      </c>
      <c r="I165" s="22" t="s">
        <v>40</v>
      </c>
      <c r="J165" s="22">
        <v>899.99</v>
      </c>
      <c r="K165" s="22" t="s">
        <v>20</v>
      </c>
      <c r="L165" s="22" t="s">
        <v>22</v>
      </c>
      <c r="M165" s="22">
        <v>1799.98</v>
      </c>
      <c r="N165" s="32">
        <v>44406</v>
      </c>
      <c r="O165" s="41"/>
      <c r="S165" s="27">
        <f t="shared" ca="1" si="20"/>
        <v>45985</v>
      </c>
      <c r="T165" s="19">
        <f t="shared" ca="1" si="21"/>
        <v>45985.990154629631</v>
      </c>
      <c r="U165" s="15">
        <f t="shared" ca="1" si="27"/>
        <v>4</v>
      </c>
      <c r="V165" s="20">
        <f t="shared" ca="1" si="22"/>
        <v>44406</v>
      </c>
      <c r="W165" s="20">
        <f t="shared" si="23"/>
        <v>44500</v>
      </c>
      <c r="Y165" s="15" t="str">
        <f t="shared" si="24"/>
        <v>PR</v>
      </c>
      <c r="Z165" s="15" t="str">
        <f t="shared" si="25"/>
        <v>PETER RICHARDSON</v>
      </c>
      <c r="AA165" s="15" t="str">
        <f t="shared" si="26"/>
        <v>peter richardson</v>
      </c>
      <c r="AB165" s="40"/>
    </row>
    <row r="166" spans="1:28" ht="16.5" customHeight="1" x14ac:dyDescent="0.35">
      <c r="A166" s="31" t="s">
        <v>309</v>
      </c>
      <c r="B166" s="22">
        <v>45641</v>
      </c>
      <c r="C166" s="22" t="s">
        <v>182</v>
      </c>
      <c r="D166" s="22" t="s">
        <v>183</v>
      </c>
      <c r="E166" s="22" t="s">
        <v>44</v>
      </c>
      <c r="F166" s="22" t="s">
        <v>45</v>
      </c>
      <c r="G166" s="22" t="s">
        <v>46</v>
      </c>
      <c r="H166" s="22">
        <v>1</v>
      </c>
      <c r="I166" s="22" t="s">
        <v>63</v>
      </c>
      <c r="J166" s="22">
        <v>149.99</v>
      </c>
      <c r="K166" s="22" t="s">
        <v>57</v>
      </c>
      <c r="L166" s="22" t="s">
        <v>36</v>
      </c>
      <c r="M166" s="22">
        <v>149.99</v>
      </c>
      <c r="N166" s="32">
        <v>45200</v>
      </c>
      <c r="O166" s="41"/>
      <c r="S166" s="26">
        <f t="shared" ca="1" si="20"/>
        <v>45985</v>
      </c>
      <c r="T166" s="19">
        <f t="shared" ca="1" si="21"/>
        <v>45985.990154513885</v>
      </c>
      <c r="U166" s="15">
        <f t="shared" ca="1" si="27"/>
        <v>2</v>
      </c>
      <c r="V166" s="20">
        <f t="shared" ca="1" si="22"/>
        <v>45200</v>
      </c>
      <c r="W166" s="20">
        <f t="shared" si="23"/>
        <v>45322</v>
      </c>
      <c r="Y166" s="15" t="str">
        <f t="shared" si="24"/>
        <v>DM</v>
      </c>
      <c r="Z166" s="15" t="str">
        <f t="shared" si="25"/>
        <v>DAVID MARTINEZ</v>
      </c>
      <c r="AA166" s="15" t="str">
        <f t="shared" si="26"/>
        <v>david martinez</v>
      </c>
      <c r="AB166" s="40"/>
    </row>
    <row r="167" spans="1:28" ht="16.5" customHeight="1" x14ac:dyDescent="0.35">
      <c r="A167" s="31" t="s">
        <v>310</v>
      </c>
      <c r="B167" s="22">
        <v>45641</v>
      </c>
      <c r="C167" s="22" t="s">
        <v>138</v>
      </c>
      <c r="D167" s="22" t="s">
        <v>139</v>
      </c>
      <c r="E167" s="22" t="s">
        <v>105</v>
      </c>
      <c r="F167" s="22" t="s">
        <v>106</v>
      </c>
      <c r="G167" s="22" t="s">
        <v>46</v>
      </c>
      <c r="H167" s="22">
        <v>2</v>
      </c>
      <c r="I167" s="22" t="s">
        <v>63</v>
      </c>
      <c r="J167" s="22">
        <v>299.99</v>
      </c>
      <c r="K167" s="22" t="s">
        <v>20</v>
      </c>
      <c r="L167" s="22" t="s">
        <v>27</v>
      </c>
      <c r="M167" s="22">
        <v>599.98</v>
      </c>
      <c r="N167" s="32">
        <v>44724</v>
      </c>
      <c r="O167" s="41"/>
      <c r="S167" s="27">
        <f t="shared" ca="1" si="20"/>
        <v>45985</v>
      </c>
      <c r="T167" s="19">
        <f t="shared" ca="1" si="21"/>
        <v>45985.990154629631</v>
      </c>
      <c r="U167" s="15">
        <f t="shared" ca="1" si="27"/>
        <v>3</v>
      </c>
      <c r="V167" s="20">
        <f t="shared" ca="1" si="22"/>
        <v>44724</v>
      </c>
      <c r="W167" s="20">
        <f t="shared" si="23"/>
        <v>44834</v>
      </c>
      <c r="Y167" s="15" t="str">
        <f t="shared" si="24"/>
        <v>ST</v>
      </c>
      <c r="Z167" s="15" t="str">
        <f t="shared" si="25"/>
        <v>STEVEN TURNER</v>
      </c>
      <c r="AA167" s="15" t="str">
        <f t="shared" si="26"/>
        <v>steven turner</v>
      </c>
      <c r="AB167" s="40"/>
    </row>
    <row r="168" spans="1:28" ht="16.5" customHeight="1" x14ac:dyDescent="0.35">
      <c r="A168" s="31" t="s">
        <v>311</v>
      </c>
      <c r="B168" s="22">
        <v>45644</v>
      </c>
      <c r="C168" s="22" t="s">
        <v>132</v>
      </c>
      <c r="D168" s="22" t="s">
        <v>133</v>
      </c>
      <c r="E168" s="22" t="s">
        <v>31</v>
      </c>
      <c r="F168" s="22" t="s">
        <v>32</v>
      </c>
      <c r="G168" s="22" t="s">
        <v>33</v>
      </c>
      <c r="H168" s="22">
        <v>2</v>
      </c>
      <c r="I168" s="22" t="s">
        <v>50</v>
      </c>
      <c r="J168" s="22">
        <v>59.99</v>
      </c>
      <c r="K168" s="22" t="s">
        <v>20</v>
      </c>
      <c r="L168" s="22" t="s">
        <v>22</v>
      </c>
      <c r="M168" s="22">
        <v>119.98</v>
      </c>
      <c r="N168" s="32">
        <v>45191</v>
      </c>
      <c r="O168" s="41"/>
      <c r="S168" s="26">
        <f t="shared" ca="1" si="20"/>
        <v>45985</v>
      </c>
      <c r="T168" s="19">
        <f t="shared" ca="1" si="21"/>
        <v>45985.990154513885</v>
      </c>
      <c r="U168" s="15">
        <f t="shared" ca="1" si="27"/>
        <v>2</v>
      </c>
      <c r="V168" s="20">
        <f t="shared" ca="1" si="22"/>
        <v>45191</v>
      </c>
      <c r="W168" s="20">
        <f t="shared" si="23"/>
        <v>45291</v>
      </c>
      <c r="Y168" s="15" t="str">
        <f t="shared" si="24"/>
        <v>EW</v>
      </c>
      <c r="Z168" s="15" t="str">
        <f t="shared" si="25"/>
        <v>EMMA WILSON</v>
      </c>
      <c r="AA168" s="15" t="str">
        <f t="shared" si="26"/>
        <v>emma wilson</v>
      </c>
      <c r="AB168" s="40"/>
    </row>
    <row r="169" spans="1:28" ht="16.5" customHeight="1" x14ac:dyDescent="0.35">
      <c r="A169" s="31" t="s">
        <v>312</v>
      </c>
      <c r="B169" s="22">
        <v>45645</v>
      </c>
      <c r="C169" s="22" t="s">
        <v>182</v>
      </c>
      <c r="D169" s="22" t="s">
        <v>183</v>
      </c>
      <c r="E169" s="22" t="s">
        <v>117</v>
      </c>
      <c r="F169" s="22" t="s">
        <v>118</v>
      </c>
      <c r="G169" s="22" t="s">
        <v>19</v>
      </c>
      <c r="H169" s="22">
        <v>1</v>
      </c>
      <c r="I169" s="22" t="s">
        <v>21</v>
      </c>
      <c r="J169" s="22">
        <v>89.99</v>
      </c>
      <c r="K169" s="22" t="s">
        <v>57</v>
      </c>
      <c r="L169" s="22" t="s">
        <v>36</v>
      </c>
      <c r="M169" s="22">
        <v>89.99</v>
      </c>
      <c r="N169" s="32">
        <v>44760</v>
      </c>
      <c r="O169" s="41"/>
      <c r="S169" s="27">
        <f t="shared" ca="1" si="20"/>
        <v>45985</v>
      </c>
      <c r="T169" s="19">
        <f t="shared" ca="1" si="21"/>
        <v>45985.990154629631</v>
      </c>
      <c r="U169" s="15">
        <f t="shared" ca="1" si="27"/>
        <v>3</v>
      </c>
      <c r="V169" s="20">
        <f t="shared" ca="1" si="22"/>
        <v>44760</v>
      </c>
      <c r="W169" s="20">
        <f t="shared" si="23"/>
        <v>44865</v>
      </c>
      <c r="Y169" s="15" t="str">
        <f t="shared" si="24"/>
        <v>DM</v>
      </c>
      <c r="Z169" s="15" t="str">
        <f t="shared" si="25"/>
        <v>DAVID MARTINEZ</v>
      </c>
      <c r="AA169" s="15" t="str">
        <f t="shared" si="26"/>
        <v>david martinez</v>
      </c>
      <c r="AB169" s="40"/>
    </row>
    <row r="170" spans="1:28" ht="16.5" customHeight="1" x14ac:dyDescent="0.35">
      <c r="A170" s="31" t="s">
        <v>313</v>
      </c>
      <c r="B170" s="22">
        <v>45645</v>
      </c>
      <c r="C170" s="22" t="s">
        <v>147</v>
      </c>
      <c r="D170" s="22" t="s">
        <v>148</v>
      </c>
      <c r="E170" s="22" t="s">
        <v>61</v>
      </c>
      <c r="F170" s="22" t="s">
        <v>62</v>
      </c>
      <c r="G170" s="22" t="s">
        <v>19</v>
      </c>
      <c r="H170" s="22">
        <v>5</v>
      </c>
      <c r="I170" s="22" t="s">
        <v>63</v>
      </c>
      <c r="J170" s="22">
        <v>899.99</v>
      </c>
      <c r="K170" s="22" t="s">
        <v>57</v>
      </c>
      <c r="L170" s="22" t="s">
        <v>36</v>
      </c>
      <c r="M170" s="22">
        <v>4499.95</v>
      </c>
      <c r="N170" s="32">
        <v>44625</v>
      </c>
      <c r="O170" s="41"/>
      <c r="S170" s="26">
        <f t="shared" ca="1" si="20"/>
        <v>45985</v>
      </c>
      <c r="T170" s="19">
        <f t="shared" ca="1" si="21"/>
        <v>45985.990154513885</v>
      </c>
      <c r="U170" s="15">
        <f t="shared" ca="1" si="27"/>
        <v>3</v>
      </c>
      <c r="V170" s="20">
        <f t="shared" ca="1" si="22"/>
        <v>44625</v>
      </c>
      <c r="W170" s="20">
        <f t="shared" si="23"/>
        <v>44742</v>
      </c>
      <c r="Y170" s="15" t="str">
        <f t="shared" si="24"/>
        <v>DK</v>
      </c>
      <c r="Z170" s="15" t="str">
        <f t="shared" si="25"/>
        <v>DANIEL KING</v>
      </c>
      <c r="AA170" s="15" t="str">
        <f t="shared" si="26"/>
        <v>daniel king</v>
      </c>
      <c r="AB170" s="40"/>
    </row>
    <row r="171" spans="1:28" ht="16.5" customHeight="1" x14ac:dyDescent="0.35">
      <c r="A171" s="31" t="s">
        <v>314</v>
      </c>
      <c r="B171" s="22">
        <v>45646</v>
      </c>
      <c r="C171" s="22" t="s">
        <v>42</v>
      </c>
      <c r="D171" s="22" t="s">
        <v>43</v>
      </c>
      <c r="E171" s="22" t="s">
        <v>44</v>
      </c>
      <c r="F171" s="22" t="s">
        <v>45</v>
      </c>
      <c r="G171" s="22" t="s">
        <v>46</v>
      </c>
      <c r="H171" s="22">
        <v>2</v>
      </c>
      <c r="I171" s="22" t="s">
        <v>35</v>
      </c>
      <c r="J171" s="22">
        <v>149.99</v>
      </c>
      <c r="K171" s="22" t="s">
        <v>20</v>
      </c>
      <c r="L171" s="22" t="s">
        <v>22</v>
      </c>
      <c r="M171" s="22">
        <v>299.98</v>
      </c>
      <c r="N171" s="32">
        <v>45239</v>
      </c>
      <c r="O171" s="41"/>
      <c r="S171" s="27">
        <f t="shared" ca="1" si="20"/>
        <v>45985</v>
      </c>
      <c r="T171" s="19">
        <f t="shared" ca="1" si="21"/>
        <v>45985.990154629631</v>
      </c>
      <c r="U171" s="15">
        <f t="shared" ca="1" si="27"/>
        <v>2</v>
      </c>
      <c r="V171" s="20">
        <f t="shared" ca="1" si="22"/>
        <v>45239</v>
      </c>
      <c r="W171" s="20">
        <f t="shared" si="23"/>
        <v>45351</v>
      </c>
      <c r="Y171" s="15" t="str">
        <f t="shared" si="24"/>
        <v>MB</v>
      </c>
      <c r="Z171" s="15" t="str">
        <f t="shared" si="25"/>
        <v>MICHAEL BROWN</v>
      </c>
      <c r="AA171" s="15" t="str">
        <f t="shared" si="26"/>
        <v>michael brown</v>
      </c>
      <c r="AB171" s="40"/>
    </row>
    <row r="172" spans="1:28" ht="16.5" customHeight="1" x14ac:dyDescent="0.35">
      <c r="A172" s="31" t="s">
        <v>315</v>
      </c>
      <c r="B172" s="22">
        <v>45648</v>
      </c>
      <c r="C172" s="22" t="s">
        <v>112</v>
      </c>
      <c r="D172" s="22" t="s">
        <v>113</v>
      </c>
      <c r="E172" s="22" t="s">
        <v>52</v>
      </c>
      <c r="F172" s="22" t="s">
        <v>53</v>
      </c>
      <c r="G172" s="22" t="s">
        <v>19</v>
      </c>
      <c r="H172" s="22">
        <v>2</v>
      </c>
      <c r="I172" s="22" t="s">
        <v>50</v>
      </c>
      <c r="J172" s="22">
        <v>149.99</v>
      </c>
      <c r="K172" s="22" t="s">
        <v>57</v>
      </c>
      <c r="L172" s="22" t="s">
        <v>27</v>
      </c>
      <c r="M172" s="22">
        <v>299.98</v>
      </c>
      <c r="N172" s="32">
        <v>45280</v>
      </c>
      <c r="O172" s="41"/>
      <c r="S172" s="26">
        <f t="shared" ca="1" si="20"/>
        <v>45985</v>
      </c>
      <c r="T172" s="19">
        <f t="shared" ca="1" si="21"/>
        <v>45985.990154513885</v>
      </c>
      <c r="U172" s="15">
        <f t="shared" ca="1" si="27"/>
        <v>1</v>
      </c>
      <c r="V172" s="20">
        <f t="shared" ca="1" si="22"/>
        <v>45280</v>
      </c>
      <c r="W172" s="20">
        <f t="shared" si="23"/>
        <v>45382</v>
      </c>
      <c r="Y172" s="15" t="str">
        <f t="shared" si="24"/>
        <v>LM</v>
      </c>
      <c r="Z172" s="15" t="str">
        <f t="shared" si="25"/>
        <v>LINDA MARTIN</v>
      </c>
      <c r="AA172" s="15" t="str">
        <f t="shared" si="26"/>
        <v>linda martin</v>
      </c>
      <c r="AB172" s="40"/>
    </row>
    <row r="173" spans="1:28" ht="16.5" customHeight="1" x14ac:dyDescent="0.35">
      <c r="A173" s="31" t="s">
        <v>316</v>
      </c>
      <c r="B173" s="22">
        <v>45648</v>
      </c>
      <c r="C173" s="22" t="s">
        <v>182</v>
      </c>
      <c r="D173" s="22" t="s">
        <v>183</v>
      </c>
      <c r="E173" s="22" t="s">
        <v>44</v>
      </c>
      <c r="F173" s="22" t="s">
        <v>45</v>
      </c>
      <c r="G173" s="22" t="s">
        <v>46</v>
      </c>
      <c r="H173" s="22">
        <v>3</v>
      </c>
      <c r="I173" s="22" t="s">
        <v>40</v>
      </c>
      <c r="J173" s="22">
        <v>149.99</v>
      </c>
      <c r="K173" s="22" t="s">
        <v>57</v>
      </c>
      <c r="L173" s="22" t="s">
        <v>36</v>
      </c>
      <c r="M173" s="22">
        <v>449.97</v>
      </c>
      <c r="N173" s="32">
        <v>44522</v>
      </c>
      <c r="O173" s="41"/>
      <c r="S173" s="27">
        <f t="shared" ca="1" si="20"/>
        <v>45985</v>
      </c>
      <c r="T173" s="19">
        <f t="shared" ca="1" si="21"/>
        <v>45985.990154629631</v>
      </c>
      <c r="U173" s="15">
        <f t="shared" ca="1" si="27"/>
        <v>4</v>
      </c>
      <c r="V173" s="20">
        <f t="shared" ca="1" si="22"/>
        <v>44522</v>
      </c>
      <c r="W173" s="20">
        <f t="shared" si="23"/>
        <v>44620</v>
      </c>
      <c r="Y173" s="15" t="str">
        <f t="shared" si="24"/>
        <v>DM</v>
      </c>
      <c r="Z173" s="15" t="str">
        <f t="shared" si="25"/>
        <v>DAVID MARTINEZ</v>
      </c>
      <c r="AA173" s="15" t="str">
        <f t="shared" si="26"/>
        <v>david martinez</v>
      </c>
      <c r="AB173" s="40"/>
    </row>
    <row r="174" spans="1:28" ht="16.5" customHeight="1" x14ac:dyDescent="0.35">
      <c r="A174" s="31" t="s">
        <v>317</v>
      </c>
      <c r="B174" s="22">
        <v>45649</v>
      </c>
      <c r="C174" s="22" t="s">
        <v>29</v>
      </c>
      <c r="D174" s="22" t="s">
        <v>30</v>
      </c>
      <c r="E174" s="22" t="s">
        <v>105</v>
      </c>
      <c r="F174" s="22" t="s">
        <v>106</v>
      </c>
      <c r="G174" s="22" t="s">
        <v>46</v>
      </c>
      <c r="H174" s="22">
        <v>2</v>
      </c>
      <c r="I174" s="22" t="s">
        <v>35</v>
      </c>
      <c r="J174" s="22">
        <v>299.99</v>
      </c>
      <c r="K174" s="22" t="s">
        <v>34</v>
      </c>
      <c r="L174" s="22" t="s">
        <v>22</v>
      </c>
      <c r="M174" s="22">
        <v>599.98</v>
      </c>
      <c r="N174" s="32">
        <v>44721</v>
      </c>
      <c r="O174" s="41"/>
      <c r="S174" s="26">
        <f t="shared" ca="1" si="20"/>
        <v>45985</v>
      </c>
      <c r="T174" s="19">
        <f t="shared" ca="1" si="21"/>
        <v>45985.990154513885</v>
      </c>
      <c r="U174" s="15">
        <f t="shared" ca="1" si="27"/>
        <v>3</v>
      </c>
      <c r="V174" s="20">
        <f t="shared" ca="1" si="22"/>
        <v>44721</v>
      </c>
      <c r="W174" s="20">
        <f t="shared" si="23"/>
        <v>44834</v>
      </c>
      <c r="Y174" s="15" t="str">
        <f t="shared" si="24"/>
        <v>KS</v>
      </c>
      <c r="Z174" s="15" t="str">
        <f t="shared" si="25"/>
        <v>KEVIN SCOTT</v>
      </c>
      <c r="AA174" s="15" t="str">
        <f t="shared" si="26"/>
        <v>kevin scott</v>
      </c>
      <c r="AB174" s="40"/>
    </row>
    <row r="175" spans="1:28" ht="16.5" customHeight="1" x14ac:dyDescent="0.35">
      <c r="A175" s="31" t="s">
        <v>318</v>
      </c>
      <c r="B175" s="22">
        <v>45654</v>
      </c>
      <c r="C175" s="22" t="s">
        <v>42</v>
      </c>
      <c r="D175" s="22" t="s">
        <v>43</v>
      </c>
      <c r="E175" s="22" t="s">
        <v>105</v>
      </c>
      <c r="F175" s="22" t="s">
        <v>106</v>
      </c>
      <c r="G175" s="22" t="s">
        <v>46</v>
      </c>
      <c r="H175" s="22">
        <v>2</v>
      </c>
      <c r="I175" s="22" t="s">
        <v>50</v>
      </c>
      <c r="J175" s="22">
        <v>299.99</v>
      </c>
      <c r="K175" s="22" t="s">
        <v>20</v>
      </c>
      <c r="L175" s="22" t="s">
        <v>22</v>
      </c>
      <c r="M175" s="22">
        <v>599.98</v>
      </c>
      <c r="N175" s="32">
        <v>44771</v>
      </c>
      <c r="O175" s="41"/>
      <c r="S175" s="27">
        <f t="shared" ca="1" si="20"/>
        <v>45985</v>
      </c>
      <c r="T175" s="19">
        <f t="shared" ca="1" si="21"/>
        <v>45985.990154629631</v>
      </c>
      <c r="U175" s="15">
        <f t="shared" ca="1" si="27"/>
        <v>3</v>
      </c>
      <c r="V175" s="20">
        <f t="shared" ca="1" si="22"/>
        <v>44771</v>
      </c>
      <c r="W175" s="20">
        <f t="shared" si="23"/>
        <v>44865</v>
      </c>
      <c r="Y175" s="15" t="str">
        <f t="shared" si="24"/>
        <v>MB</v>
      </c>
      <c r="Z175" s="15" t="str">
        <f t="shared" si="25"/>
        <v>MICHAEL BROWN</v>
      </c>
      <c r="AA175" s="15" t="str">
        <f t="shared" si="26"/>
        <v>michael brown</v>
      </c>
      <c r="AB175" s="40"/>
    </row>
    <row r="176" spans="1:28" ht="16.5" customHeight="1" x14ac:dyDescent="0.35">
      <c r="A176" s="31" t="s">
        <v>319</v>
      </c>
      <c r="B176" s="22">
        <v>45654</v>
      </c>
      <c r="C176" s="22" t="s">
        <v>120</v>
      </c>
      <c r="D176" s="22" t="s">
        <v>121</v>
      </c>
      <c r="E176" s="22" t="s">
        <v>126</v>
      </c>
      <c r="F176" s="22" t="s">
        <v>127</v>
      </c>
      <c r="G176" s="22" t="s">
        <v>46</v>
      </c>
      <c r="H176" s="22">
        <v>4</v>
      </c>
      <c r="I176" s="22" t="s">
        <v>21</v>
      </c>
      <c r="J176" s="22">
        <v>199.99</v>
      </c>
      <c r="K176" s="22" t="s">
        <v>26</v>
      </c>
      <c r="L176" s="22" t="s">
        <v>22</v>
      </c>
      <c r="M176" s="22">
        <v>799.96</v>
      </c>
      <c r="N176" s="32">
        <v>44523</v>
      </c>
      <c r="O176" s="41"/>
      <c r="S176" s="26">
        <f t="shared" ca="1" si="20"/>
        <v>45985</v>
      </c>
      <c r="T176" s="19">
        <f t="shared" ca="1" si="21"/>
        <v>45985.990154513885</v>
      </c>
      <c r="U176" s="15">
        <f t="shared" ca="1" si="27"/>
        <v>4</v>
      </c>
      <c r="V176" s="20">
        <f t="shared" ca="1" si="22"/>
        <v>44523</v>
      </c>
      <c r="W176" s="20">
        <f t="shared" si="23"/>
        <v>44620</v>
      </c>
      <c r="Y176" s="15" t="str">
        <f t="shared" si="24"/>
        <v>HR</v>
      </c>
      <c r="Z176" s="15" t="str">
        <f t="shared" si="25"/>
        <v>HELEN ROBERTS</v>
      </c>
      <c r="AA176" s="15" t="str">
        <f t="shared" si="26"/>
        <v>helen roberts</v>
      </c>
      <c r="AB176" s="40"/>
    </row>
    <row r="177" spans="1:28" ht="16.5" customHeight="1" x14ac:dyDescent="0.35">
      <c r="A177" s="31" t="s">
        <v>320</v>
      </c>
      <c r="B177" s="22">
        <v>45655</v>
      </c>
      <c r="C177" s="22" t="s">
        <v>59</v>
      </c>
      <c r="D177" s="22" t="s">
        <v>60</v>
      </c>
      <c r="E177" s="22" t="s">
        <v>117</v>
      </c>
      <c r="F177" s="22" t="s">
        <v>118</v>
      </c>
      <c r="G177" s="22" t="s">
        <v>19</v>
      </c>
      <c r="H177" s="22">
        <v>1</v>
      </c>
      <c r="I177" s="22" t="s">
        <v>35</v>
      </c>
      <c r="J177" s="22">
        <v>89.99</v>
      </c>
      <c r="K177" s="22" t="s">
        <v>26</v>
      </c>
      <c r="L177" s="22" t="s">
        <v>27</v>
      </c>
      <c r="M177" s="22">
        <v>89.99</v>
      </c>
      <c r="N177" s="32">
        <v>44591</v>
      </c>
      <c r="O177" s="41"/>
      <c r="S177" s="27">
        <f t="shared" ca="1" si="20"/>
        <v>45985</v>
      </c>
      <c r="T177" s="19">
        <f t="shared" ca="1" si="21"/>
        <v>45985.990154629631</v>
      </c>
      <c r="U177" s="15">
        <f t="shared" ca="1" si="27"/>
        <v>3</v>
      </c>
      <c r="V177" s="20">
        <f t="shared" ca="1" si="22"/>
        <v>44591</v>
      </c>
      <c r="W177" s="20">
        <f t="shared" si="23"/>
        <v>44681</v>
      </c>
      <c r="Y177" s="15" t="str">
        <f t="shared" si="24"/>
        <v>RT</v>
      </c>
      <c r="Z177" s="15" t="str">
        <f t="shared" si="25"/>
        <v>ROBERT THOMAS</v>
      </c>
      <c r="AA177" s="15" t="str">
        <f t="shared" si="26"/>
        <v>robert thomas</v>
      </c>
      <c r="AB177" s="40"/>
    </row>
    <row r="178" spans="1:28" ht="16.5" customHeight="1" x14ac:dyDescent="0.35">
      <c r="A178" s="31" t="s">
        <v>321</v>
      </c>
      <c r="B178" s="22">
        <v>45655</v>
      </c>
      <c r="C178" s="22" t="s">
        <v>108</v>
      </c>
      <c r="D178" s="22" t="s">
        <v>109</v>
      </c>
      <c r="E178" s="22" t="s">
        <v>44</v>
      </c>
      <c r="F178" s="22" t="s">
        <v>45</v>
      </c>
      <c r="G178" s="22" t="s">
        <v>46</v>
      </c>
      <c r="H178" s="22">
        <v>5</v>
      </c>
      <c r="I178" s="22" t="s">
        <v>21</v>
      </c>
      <c r="J178" s="22">
        <v>149.99</v>
      </c>
      <c r="K178" s="22" t="s">
        <v>20</v>
      </c>
      <c r="L178" s="22" t="s">
        <v>27</v>
      </c>
      <c r="M178" s="22">
        <v>749.95</v>
      </c>
      <c r="N178" s="32">
        <v>45347</v>
      </c>
      <c r="O178" s="41"/>
      <c r="S178" s="26">
        <f t="shared" ca="1" si="20"/>
        <v>45985</v>
      </c>
      <c r="T178" s="19">
        <f t="shared" ca="1" si="21"/>
        <v>45985.990154513885</v>
      </c>
      <c r="U178" s="15">
        <f t="shared" ca="1" si="27"/>
        <v>1</v>
      </c>
      <c r="V178" s="20">
        <f t="shared" ca="1" si="22"/>
        <v>45347</v>
      </c>
      <c r="W178" s="20">
        <f t="shared" si="23"/>
        <v>45443</v>
      </c>
      <c r="Y178" s="15" t="str">
        <f t="shared" si="24"/>
        <v>NC</v>
      </c>
      <c r="Z178" s="15" t="str">
        <f t="shared" si="25"/>
        <v>NANCY COLLINS</v>
      </c>
      <c r="AA178" s="15" t="str">
        <f t="shared" si="26"/>
        <v>nancy collins</v>
      </c>
      <c r="AB178" s="40"/>
    </row>
    <row r="179" spans="1:28" ht="16.5" customHeight="1" x14ac:dyDescent="0.35">
      <c r="A179" s="31" t="s">
        <v>322</v>
      </c>
      <c r="B179" s="22">
        <v>45657</v>
      </c>
      <c r="C179" s="22" t="s">
        <v>86</v>
      </c>
      <c r="D179" s="22" t="s">
        <v>87</v>
      </c>
      <c r="E179" s="22" t="s">
        <v>61</v>
      </c>
      <c r="F179" s="22" t="s">
        <v>62</v>
      </c>
      <c r="G179" s="22" t="s">
        <v>19</v>
      </c>
      <c r="H179" s="22">
        <v>1</v>
      </c>
      <c r="I179" s="22" t="s">
        <v>40</v>
      </c>
      <c r="J179" s="22">
        <v>899.99</v>
      </c>
      <c r="K179" s="22" t="s">
        <v>34</v>
      </c>
      <c r="L179" s="22" t="s">
        <v>27</v>
      </c>
      <c r="M179" s="22">
        <v>899.99</v>
      </c>
      <c r="N179" s="32">
        <v>45050</v>
      </c>
      <c r="O179" s="41"/>
      <c r="S179" s="27">
        <f t="shared" ca="1" si="20"/>
        <v>45985</v>
      </c>
      <c r="T179" s="19">
        <f t="shared" ca="1" si="21"/>
        <v>45985.990154629631</v>
      </c>
      <c r="U179" s="15">
        <f t="shared" ca="1" si="27"/>
        <v>2</v>
      </c>
      <c r="V179" s="20">
        <f t="shared" ca="1" si="22"/>
        <v>45050</v>
      </c>
      <c r="W179" s="20">
        <f t="shared" si="23"/>
        <v>45169</v>
      </c>
      <c r="Y179" s="15" t="str">
        <f t="shared" si="24"/>
        <v>MC</v>
      </c>
      <c r="Z179" s="15" t="str">
        <f t="shared" si="25"/>
        <v>MARK CARTER</v>
      </c>
      <c r="AA179" s="15" t="str">
        <f t="shared" si="26"/>
        <v>mark carter</v>
      </c>
      <c r="AB179" s="40"/>
    </row>
    <row r="180" spans="1:28" ht="16.5" customHeight="1" x14ac:dyDescent="0.35">
      <c r="A180" s="31" t="s">
        <v>323</v>
      </c>
      <c r="B180" s="22">
        <v>45660</v>
      </c>
      <c r="C180" s="22" t="s">
        <v>147</v>
      </c>
      <c r="D180" s="22" t="s">
        <v>148</v>
      </c>
      <c r="E180" s="22" t="s">
        <v>117</v>
      </c>
      <c r="F180" s="22" t="s">
        <v>118</v>
      </c>
      <c r="G180" s="22" t="s">
        <v>19</v>
      </c>
      <c r="H180" s="22">
        <v>2</v>
      </c>
      <c r="I180" s="22" t="s">
        <v>35</v>
      </c>
      <c r="J180" s="22">
        <v>89.99</v>
      </c>
      <c r="K180" s="22" t="s">
        <v>26</v>
      </c>
      <c r="L180" s="22" t="s">
        <v>27</v>
      </c>
      <c r="M180" s="22">
        <v>179.98</v>
      </c>
      <c r="N180" s="32">
        <v>44564</v>
      </c>
      <c r="O180" s="41"/>
      <c r="S180" s="26">
        <f t="shared" ca="1" si="20"/>
        <v>45985</v>
      </c>
      <c r="T180" s="19">
        <f t="shared" ca="1" si="21"/>
        <v>45985.990154513885</v>
      </c>
      <c r="U180" s="15">
        <f t="shared" ca="1" si="27"/>
        <v>3</v>
      </c>
      <c r="V180" s="20">
        <f t="shared" ca="1" si="22"/>
        <v>44564</v>
      </c>
      <c r="W180" s="20">
        <f t="shared" si="23"/>
        <v>44681</v>
      </c>
      <c r="Y180" s="15" t="str">
        <f t="shared" si="24"/>
        <v>DK</v>
      </c>
      <c r="Z180" s="15" t="str">
        <f t="shared" si="25"/>
        <v>DANIEL KING</v>
      </c>
      <c r="AA180" s="15" t="str">
        <f t="shared" si="26"/>
        <v>daniel king</v>
      </c>
      <c r="AB180" s="40"/>
    </row>
    <row r="181" spans="1:28" ht="16.5" customHeight="1" x14ac:dyDescent="0.35">
      <c r="A181" s="31" t="s">
        <v>324</v>
      </c>
      <c r="B181" s="22">
        <v>45661</v>
      </c>
      <c r="C181" s="22" t="s">
        <v>325</v>
      </c>
      <c r="D181" s="22" t="s">
        <v>326</v>
      </c>
      <c r="E181" s="22" t="s">
        <v>61</v>
      </c>
      <c r="F181" s="22" t="s">
        <v>62</v>
      </c>
      <c r="G181" s="22" t="s">
        <v>19</v>
      </c>
      <c r="H181" s="22">
        <v>1</v>
      </c>
      <c r="I181" s="22" t="s">
        <v>40</v>
      </c>
      <c r="J181" s="22">
        <v>899.99</v>
      </c>
      <c r="K181" s="22" t="s">
        <v>34</v>
      </c>
      <c r="L181" s="22" t="s">
        <v>36</v>
      </c>
      <c r="M181" s="22">
        <v>899.99</v>
      </c>
      <c r="N181" s="32">
        <v>44752</v>
      </c>
      <c r="O181" s="41"/>
      <c r="S181" s="27">
        <f t="shared" ca="1" si="20"/>
        <v>45985</v>
      </c>
      <c r="T181" s="19">
        <f t="shared" ca="1" si="21"/>
        <v>45985.990154629631</v>
      </c>
      <c r="U181" s="15">
        <f t="shared" ca="1" si="27"/>
        <v>3</v>
      </c>
      <c r="V181" s="20">
        <f t="shared" ca="1" si="22"/>
        <v>44752</v>
      </c>
      <c r="W181" s="20">
        <f t="shared" si="23"/>
        <v>44865</v>
      </c>
      <c r="Y181" s="15" t="str">
        <f t="shared" si="24"/>
        <v>AE</v>
      </c>
      <c r="Z181" s="15" t="str">
        <f t="shared" si="25"/>
        <v>ARTHUR EDWARDS</v>
      </c>
      <c r="AA181" s="15" t="str">
        <f t="shared" si="26"/>
        <v>arthur edwards</v>
      </c>
      <c r="AB181" s="40"/>
    </row>
    <row r="182" spans="1:28" ht="16.5" customHeight="1" x14ac:dyDescent="0.35">
      <c r="A182" s="31" t="s">
        <v>327</v>
      </c>
      <c r="B182" s="22">
        <v>45663</v>
      </c>
      <c r="C182" s="22" t="s">
        <v>129</v>
      </c>
      <c r="D182" s="22" t="s">
        <v>130</v>
      </c>
      <c r="E182" s="22" t="s">
        <v>52</v>
      </c>
      <c r="F182" s="22" t="s">
        <v>53</v>
      </c>
      <c r="G182" s="22" t="s">
        <v>19</v>
      </c>
      <c r="H182" s="22">
        <v>5</v>
      </c>
      <c r="I182" s="22" t="s">
        <v>63</v>
      </c>
      <c r="J182" s="22">
        <v>149.99</v>
      </c>
      <c r="K182" s="22" t="s">
        <v>34</v>
      </c>
      <c r="L182" s="22" t="s">
        <v>27</v>
      </c>
      <c r="M182" s="22">
        <v>749.95</v>
      </c>
      <c r="N182" s="32">
        <v>44824</v>
      </c>
      <c r="O182" s="41"/>
      <c r="S182" s="26">
        <f t="shared" ca="1" si="20"/>
        <v>45985</v>
      </c>
      <c r="T182" s="19">
        <f t="shared" ca="1" si="21"/>
        <v>45985.990154513885</v>
      </c>
      <c r="U182" s="15">
        <f t="shared" ca="1" si="27"/>
        <v>3</v>
      </c>
      <c r="V182" s="20">
        <f t="shared" ca="1" si="22"/>
        <v>44824</v>
      </c>
      <c r="W182" s="20">
        <f t="shared" si="23"/>
        <v>44926</v>
      </c>
      <c r="Y182" s="15" t="str">
        <f t="shared" si="24"/>
        <v>LA</v>
      </c>
      <c r="Z182" s="15" t="str">
        <f t="shared" si="25"/>
        <v>LISA ANDERSON</v>
      </c>
      <c r="AA182" s="15" t="str">
        <f t="shared" si="26"/>
        <v>lisa anderson</v>
      </c>
      <c r="AB182" s="40"/>
    </row>
    <row r="183" spans="1:28" ht="16.5" customHeight="1" x14ac:dyDescent="0.35">
      <c r="A183" s="31" t="s">
        <v>328</v>
      </c>
      <c r="B183" s="22">
        <v>45663</v>
      </c>
      <c r="C183" s="22" t="s">
        <v>42</v>
      </c>
      <c r="D183" s="22" t="s">
        <v>43</v>
      </c>
      <c r="E183" s="22" t="s">
        <v>105</v>
      </c>
      <c r="F183" s="22" t="s">
        <v>106</v>
      </c>
      <c r="G183" s="22" t="s">
        <v>46</v>
      </c>
      <c r="H183" s="22">
        <v>3</v>
      </c>
      <c r="I183" s="22" t="s">
        <v>35</v>
      </c>
      <c r="J183" s="22">
        <v>299.99</v>
      </c>
      <c r="K183" s="22" t="s">
        <v>20</v>
      </c>
      <c r="L183" s="22" t="s">
        <v>36</v>
      </c>
      <c r="M183" s="22">
        <v>899.97</v>
      </c>
      <c r="N183" s="32">
        <v>44422</v>
      </c>
      <c r="O183" s="41"/>
      <c r="S183" s="27">
        <f t="shared" ca="1" si="20"/>
        <v>45985</v>
      </c>
      <c r="T183" s="19">
        <f t="shared" ca="1" si="21"/>
        <v>45985.990154629631</v>
      </c>
      <c r="U183" s="15">
        <f t="shared" ca="1" si="27"/>
        <v>4</v>
      </c>
      <c r="V183" s="20">
        <f t="shared" ca="1" si="22"/>
        <v>44422</v>
      </c>
      <c r="W183" s="20">
        <f t="shared" si="23"/>
        <v>44530</v>
      </c>
      <c r="Y183" s="15" t="str">
        <f t="shared" si="24"/>
        <v>MB</v>
      </c>
      <c r="Z183" s="15" t="str">
        <f t="shared" si="25"/>
        <v>MICHAEL BROWN</v>
      </c>
      <c r="AA183" s="15" t="str">
        <f t="shared" si="26"/>
        <v>michael brown</v>
      </c>
      <c r="AB183" s="40"/>
    </row>
    <row r="184" spans="1:28" ht="16.5" customHeight="1" x14ac:dyDescent="0.35">
      <c r="A184" s="31" t="s">
        <v>329</v>
      </c>
      <c r="B184" s="22">
        <v>45666</v>
      </c>
      <c r="C184" s="22" t="s">
        <v>65</v>
      </c>
      <c r="D184" s="22" t="s">
        <v>66</v>
      </c>
      <c r="E184" s="22" t="s">
        <v>80</v>
      </c>
      <c r="F184" s="22" t="s">
        <v>81</v>
      </c>
      <c r="G184" s="22" t="s">
        <v>19</v>
      </c>
      <c r="H184" s="22">
        <v>3</v>
      </c>
      <c r="I184" s="22" t="s">
        <v>21</v>
      </c>
      <c r="J184" s="22">
        <v>699.99</v>
      </c>
      <c r="K184" s="22" t="s">
        <v>26</v>
      </c>
      <c r="L184" s="22" t="s">
        <v>27</v>
      </c>
      <c r="M184" s="22">
        <v>2099.9699999999998</v>
      </c>
      <c r="N184" s="32">
        <v>45105</v>
      </c>
      <c r="O184" s="41"/>
      <c r="S184" s="26">
        <f t="shared" ca="1" si="20"/>
        <v>45985</v>
      </c>
      <c r="T184" s="19">
        <f t="shared" ca="1" si="21"/>
        <v>45985.990154513885</v>
      </c>
      <c r="U184" s="15">
        <f t="shared" ca="1" si="27"/>
        <v>2</v>
      </c>
      <c r="V184" s="20">
        <f t="shared" ca="1" si="22"/>
        <v>45105</v>
      </c>
      <c r="W184" s="20">
        <f t="shared" si="23"/>
        <v>45199</v>
      </c>
      <c r="Y184" s="15" t="str">
        <f t="shared" si="24"/>
        <v>KH</v>
      </c>
      <c r="Z184" s="15" t="str">
        <f t="shared" si="25"/>
        <v>KAREN HILL</v>
      </c>
      <c r="AA184" s="15" t="str">
        <f t="shared" si="26"/>
        <v>karen hill</v>
      </c>
      <c r="AB184" s="40"/>
    </row>
    <row r="185" spans="1:28" ht="16.5" customHeight="1" x14ac:dyDescent="0.35">
      <c r="A185" s="31" t="s">
        <v>330</v>
      </c>
      <c r="B185" s="22">
        <v>45667</v>
      </c>
      <c r="C185" s="22" t="s">
        <v>108</v>
      </c>
      <c r="D185" s="22" t="s">
        <v>109</v>
      </c>
      <c r="E185" s="22" t="s">
        <v>126</v>
      </c>
      <c r="F185" s="22" t="s">
        <v>127</v>
      </c>
      <c r="G185" s="22" t="s">
        <v>46</v>
      </c>
      <c r="H185" s="22">
        <v>5</v>
      </c>
      <c r="I185" s="22" t="s">
        <v>21</v>
      </c>
      <c r="J185" s="22">
        <v>199.99</v>
      </c>
      <c r="K185" s="22" t="s">
        <v>34</v>
      </c>
      <c r="L185" s="22" t="s">
        <v>36</v>
      </c>
      <c r="M185" s="22">
        <v>999.95</v>
      </c>
      <c r="N185" s="32">
        <v>44633</v>
      </c>
      <c r="O185" s="41"/>
      <c r="S185" s="27">
        <f t="shared" ca="1" si="20"/>
        <v>45985</v>
      </c>
      <c r="T185" s="19">
        <f t="shared" ca="1" si="21"/>
        <v>45985.990154629631</v>
      </c>
      <c r="U185" s="15">
        <f t="shared" ca="1" si="27"/>
        <v>3</v>
      </c>
      <c r="V185" s="20">
        <f t="shared" ca="1" si="22"/>
        <v>44633</v>
      </c>
      <c r="W185" s="20">
        <f t="shared" si="23"/>
        <v>44742</v>
      </c>
      <c r="Y185" s="15" t="str">
        <f t="shared" si="24"/>
        <v>NC</v>
      </c>
      <c r="Z185" s="15" t="str">
        <f t="shared" si="25"/>
        <v>NANCY COLLINS</v>
      </c>
      <c r="AA185" s="15" t="str">
        <f t="shared" si="26"/>
        <v>nancy collins</v>
      </c>
      <c r="AB185" s="40"/>
    </row>
    <row r="186" spans="1:28" ht="16.5" customHeight="1" x14ac:dyDescent="0.35">
      <c r="A186" s="31" t="s">
        <v>331</v>
      </c>
      <c r="B186" s="22">
        <v>45667</v>
      </c>
      <c r="C186" s="22" t="s">
        <v>93</v>
      </c>
      <c r="D186" s="22" t="s">
        <v>94</v>
      </c>
      <c r="E186" s="22" t="s">
        <v>17</v>
      </c>
      <c r="F186" s="22" t="s">
        <v>18</v>
      </c>
      <c r="G186" s="22" t="s">
        <v>19</v>
      </c>
      <c r="H186" s="22">
        <v>5</v>
      </c>
      <c r="I186" s="22" t="s">
        <v>35</v>
      </c>
      <c r="J186" s="22">
        <v>249.99</v>
      </c>
      <c r="K186" s="22" t="s">
        <v>26</v>
      </c>
      <c r="L186" s="22" t="s">
        <v>22</v>
      </c>
      <c r="M186" s="22">
        <v>1249.95</v>
      </c>
      <c r="N186" s="32">
        <v>45330</v>
      </c>
      <c r="O186" s="41"/>
      <c r="S186" s="26">
        <f t="shared" ca="1" si="20"/>
        <v>45985</v>
      </c>
      <c r="T186" s="19">
        <f t="shared" ca="1" si="21"/>
        <v>45985.990154629631</v>
      </c>
      <c r="U186" s="15">
        <f t="shared" ca="1" si="27"/>
        <v>1</v>
      </c>
      <c r="V186" s="20">
        <f t="shared" ca="1" si="22"/>
        <v>45330</v>
      </c>
      <c r="W186" s="20">
        <f t="shared" si="23"/>
        <v>45443</v>
      </c>
      <c r="Y186" s="15" t="str">
        <f t="shared" si="24"/>
        <v>VS</v>
      </c>
      <c r="Z186" s="15" t="str">
        <f t="shared" si="25"/>
        <v>VIRGINIA SANDERS</v>
      </c>
      <c r="AA186" s="15" t="str">
        <f t="shared" si="26"/>
        <v>virginia sanders</v>
      </c>
      <c r="AB186" s="40"/>
    </row>
    <row r="187" spans="1:28" ht="16.5" customHeight="1" x14ac:dyDescent="0.35">
      <c r="A187" s="31" t="s">
        <v>332</v>
      </c>
      <c r="B187" s="22">
        <v>45668</v>
      </c>
      <c r="C187" s="22" t="s">
        <v>138</v>
      </c>
      <c r="D187" s="22" t="s">
        <v>139</v>
      </c>
      <c r="E187" s="22" t="s">
        <v>52</v>
      </c>
      <c r="F187" s="22" t="s">
        <v>53</v>
      </c>
      <c r="G187" s="22" t="s">
        <v>19</v>
      </c>
      <c r="H187" s="22">
        <v>4</v>
      </c>
      <c r="I187" s="22" t="s">
        <v>63</v>
      </c>
      <c r="J187" s="22">
        <v>149.99</v>
      </c>
      <c r="K187" s="22" t="s">
        <v>57</v>
      </c>
      <c r="L187" s="22" t="s">
        <v>36</v>
      </c>
      <c r="M187" s="22">
        <v>599.96</v>
      </c>
      <c r="N187" s="32">
        <v>44536</v>
      </c>
      <c r="O187" s="41"/>
      <c r="S187" s="27">
        <f t="shared" ca="1" si="20"/>
        <v>45985</v>
      </c>
      <c r="T187" s="19">
        <f t="shared" ca="1" si="21"/>
        <v>45985.990154629631</v>
      </c>
      <c r="U187" s="15">
        <f t="shared" ca="1" si="27"/>
        <v>3</v>
      </c>
      <c r="V187" s="20">
        <f t="shared" ca="1" si="22"/>
        <v>44536</v>
      </c>
      <c r="W187" s="20">
        <f t="shared" si="23"/>
        <v>44651</v>
      </c>
      <c r="Y187" s="15" t="str">
        <f t="shared" si="24"/>
        <v>ST</v>
      </c>
      <c r="Z187" s="15" t="str">
        <f t="shared" si="25"/>
        <v>STEVEN TURNER</v>
      </c>
      <c r="AA187" s="15" t="str">
        <f t="shared" si="26"/>
        <v>steven turner</v>
      </c>
      <c r="AB187" s="40"/>
    </row>
    <row r="188" spans="1:28" ht="16.5" customHeight="1" x14ac:dyDescent="0.35">
      <c r="A188" s="31" t="s">
        <v>333</v>
      </c>
      <c r="B188" s="22">
        <v>45668</v>
      </c>
      <c r="C188" s="22" t="s">
        <v>78</v>
      </c>
      <c r="D188" s="22" t="s">
        <v>79</v>
      </c>
      <c r="E188" s="22" t="s">
        <v>80</v>
      </c>
      <c r="F188" s="22" t="s">
        <v>81</v>
      </c>
      <c r="G188" s="22" t="s">
        <v>19</v>
      </c>
      <c r="H188" s="22">
        <v>3</v>
      </c>
      <c r="I188" s="22" t="s">
        <v>40</v>
      </c>
      <c r="J188" s="22">
        <v>699.99</v>
      </c>
      <c r="K188" s="22" t="s">
        <v>20</v>
      </c>
      <c r="L188" s="22" t="s">
        <v>27</v>
      </c>
      <c r="M188" s="22">
        <v>2099.9699999999998</v>
      </c>
      <c r="N188" s="32">
        <v>44602</v>
      </c>
      <c r="O188" s="41"/>
      <c r="S188" s="26">
        <f t="shared" ca="1" si="20"/>
        <v>45985</v>
      </c>
      <c r="T188" s="19">
        <f t="shared" ca="1" si="21"/>
        <v>45985.990154513885</v>
      </c>
      <c r="U188" s="15">
        <f t="shared" ca="1" si="27"/>
        <v>3</v>
      </c>
      <c r="V188" s="20">
        <f t="shared" ca="1" si="22"/>
        <v>44602</v>
      </c>
      <c r="W188" s="20">
        <f t="shared" si="23"/>
        <v>44712</v>
      </c>
      <c r="Y188" s="15" t="str">
        <f t="shared" si="24"/>
        <v>MR</v>
      </c>
      <c r="Z188" s="15" t="str">
        <f t="shared" si="25"/>
        <v>MICHELLE ROGERS</v>
      </c>
      <c r="AA188" s="15" t="str">
        <f t="shared" si="26"/>
        <v>michelle rogers</v>
      </c>
      <c r="AB188" s="40"/>
    </row>
    <row r="189" spans="1:28" ht="16.5" customHeight="1" x14ac:dyDescent="0.35">
      <c r="A189" s="31" t="s">
        <v>334</v>
      </c>
      <c r="B189" s="22">
        <v>45670</v>
      </c>
      <c r="C189" s="22" t="s">
        <v>293</v>
      </c>
      <c r="D189" s="22" t="s">
        <v>294</v>
      </c>
      <c r="E189" s="22" t="s">
        <v>114</v>
      </c>
      <c r="F189" s="22" t="s">
        <v>115</v>
      </c>
      <c r="G189" s="22" t="s">
        <v>33</v>
      </c>
      <c r="H189" s="22">
        <v>1</v>
      </c>
      <c r="I189" s="22" t="s">
        <v>35</v>
      </c>
      <c r="J189" s="22">
        <v>79.989999999999995</v>
      </c>
      <c r="K189" s="22" t="s">
        <v>26</v>
      </c>
      <c r="L189" s="22" t="s">
        <v>22</v>
      </c>
      <c r="M189" s="22">
        <v>79.989999999999995</v>
      </c>
      <c r="N189" s="32">
        <v>45322</v>
      </c>
      <c r="O189" s="41"/>
      <c r="S189" s="27">
        <f t="shared" ca="1" si="20"/>
        <v>45985</v>
      </c>
      <c r="T189" s="19">
        <f t="shared" ca="1" si="21"/>
        <v>45985.990154629631</v>
      </c>
      <c r="U189" s="15">
        <f t="shared" ca="1" si="27"/>
        <v>1</v>
      </c>
      <c r="V189" s="20">
        <f t="shared" ca="1" si="22"/>
        <v>45322</v>
      </c>
      <c r="W189" s="20">
        <f t="shared" si="23"/>
        <v>45412</v>
      </c>
      <c r="Y189" s="15" t="str">
        <f t="shared" si="24"/>
        <v>DW</v>
      </c>
      <c r="Z189" s="15" t="str">
        <f t="shared" si="25"/>
        <v>DOUGLAS WATSON</v>
      </c>
      <c r="AA189" s="15" t="str">
        <f t="shared" si="26"/>
        <v>douglas watson</v>
      </c>
      <c r="AB189" s="40"/>
    </row>
    <row r="190" spans="1:28" ht="16.5" customHeight="1" x14ac:dyDescent="0.35">
      <c r="A190" s="31" t="s">
        <v>335</v>
      </c>
      <c r="B190" s="22">
        <v>45670</v>
      </c>
      <c r="C190" s="22" t="s">
        <v>86</v>
      </c>
      <c r="D190" s="22" t="s">
        <v>87</v>
      </c>
      <c r="E190" s="22" t="s">
        <v>105</v>
      </c>
      <c r="F190" s="22" t="s">
        <v>106</v>
      </c>
      <c r="G190" s="22" t="s">
        <v>46</v>
      </c>
      <c r="H190" s="22">
        <v>1</v>
      </c>
      <c r="I190" s="22" t="s">
        <v>40</v>
      </c>
      <c r="J190" s="22">
        <v>299.99</v>
      </c>
      <c r="K190" s="22" t="s">
        <v>26</v>
      </c>
      <c r="L190" s="22" t="s">
        <v>22</v>
      </c>
      <c r="M190" s="22">
        <v>299.99</v>
      </c>
      <c r="N190" s="32">
        <v>44436</v>
      </c>
      <c r="O190" s="41"/>
      <c r="S190" s="26">
        <f t="shared" ca="1" si="20"/>
        <v>45985</v>
      </c>
      <c r="T190" s="19">
        <f t="shared" ca="1" si="21"/>
        <v>45985.990154629631</v>
      </c>
      <c r="U190" s="15">
        <f t="shared" ca="1" si="27"/>
        <v>4</v>
      </c>
      <c r="V190" s="20">
        <f t="shared" ca="1" si="22"/>
        <v>44436</v>
      </c>
      <c r="W190" s="20">
        <f t="shared" si="23"/>
        <v>44530</v>
      </c>
      <c r="Y190" s="15" t="str">
        <f t="shared" si="24"/>
        <v>MC</v>
      </c>
      <c r="Z190" s="15" t="str">
        <f t="shared" si="25"/>
        <v>MARK CARTER</v>
      </c>
      <c r="AA190" s="15" t="str">
        <f t="shared" si="26"/>
        <v>mark carter</v>
      </c>
      <c r="AB190" s="40"/>
    </row>
    <row r="191" spans="1:28" ht="16.5" customHeight="1" x14ac:dyDescent="0.35">
      <c r="A191" s="31" t="s">
        <v>336</v>
      </c>
      <c r="B191" s="22">
        <v>45671</v>
      </c>
      <c r="C191" s="22" t="s">
        <v>158</v>
      </c>
      <c r="D191" s="22" t="s">
        <v>159</v>
      </c>
      <c r="E191" s="22" t="s">
        <v>17</v>
      </c>
      <c r="F191" s="22" t="s">
        <v>18</v>
      </c>
      <c r="G191" s="22" t="s">
        <v>19</v>
      </c>
      <c r="H191" s="22">
        <v>4</v>
      </c>
      <c r="I191" s="22" t="s">
        <v>40</v>
      </c>
      <c r="J191" s="22">
        <v>249.99</v>
      </c>
      <c r="K191" s="22" t="s">
        <v>26</v>
      </c>
      <c r="L191" s="22" t="s">
        <v>27</v>
      </c>
      <c r="M191" s="22">
        <v>999.96</v>
      </c>
      <c r="N191" s="32">
        <v>44460</v>
      </c>
      <c r="O191" s="41"/>
      <c r="S191" s="27">
        <f t="shared" ca="1" si="20"/>
        <v>45985</v>
      </c>
      <c r="T191" s="19">
        <f t="shared" ca="1" si="21"/>
        <v>45985.990154629631</v>
      </c>
      <c r="U191" s="15">
        <f t="shared" ca="1" si="27"/>
        <v>4</v>
      </c>
      <c r="V191" s="20">
        <f t="shared" ca="1" si="22"/>
        <v>44460</v>
      </c>
      <c r="W191" s="20">
        <f t="shared" si="23"/>
        <v>44561</v>
      </c>
      <c r="Y191" s="15" t="str">
        <f t="shared" si="24"/>
        <v>BC</v>
      </c>
      <c r="Z191" s="15" t="str">
        <f t="shared" si="25"/>
        <v>BETTY CAMPBELL</v>
      </c>
      <c r="AA191" s="15" t="str">
        <f t="shared" si="26"/>
        <v>betty campbell</v>
      </c>
      <c r="AB191" s="40"/>
    </row>
    <row r="192" spans="1:28" ht="16.5" customHeight="1" x14ac:dyDescent="0.35">
      <c r="A192" s="31" t="s">
        <v>337</v>
      </c>
      <c r="B192" s="22">
        <v>45671</v>
      </c>
      <c r="C192" s="22" t="s">
        <v>120</v>
      </c>
      <c r="D192" s="22" t="s">
        <v>121</v>
      </c>
      <c r="E192" s="22" t="s">
        <v>52</v>
      </c>
      <c r="F192" s="22" t="s">
        <v>53</v>
      </c>
      <c r="G192" s="22" t="s">
        <v>19</v>
      </c>
      <c r="H192" s="22">
        <v>2</v>
      </c>
      <c r="I192" s="22" t="s">
        <v>40</v>
      </c>
      <c r="J192" s="22">
        <v>149.99</v>
      </c>
      <c r="K192" s="22" t="s">
        <v>20</v>
      </c>
      <c r="L192" s="22" t="s">
        <v>36</v>
      </c>
      <c r="M192" s="22">
        <v>299.98</v>
      </c>
      <c r="N192" s="32">
        <v>44913</v>
      </c>
      <c r="O192" s="41"/>
      <c r="S192" s="26">
        <f t="shared" ca="1" si="20"/>
        <v>45985</v>
      </c>
      <c r="T192" s="19">
        <f t="shared" ca="1" si="21"/>
        <v>45985.990154513885</v>
      </c>
      <c r="U192" s="15">
        <f t="shared" ca="1" si="27"/>
        <v>2</v>
      </c>
      <c r="V192" s="20">
        <f t="shared" ca="1" si="22"/>
        <v>44913</v>
      </c>
      <c r="W192" s="20">
        <f t="shared" si="23"/>
        <v>45016</v>
      </c>
      <c r="Y192" s="15" t="str">
        <f t="shared" si="24"/>
        <v>HR</v>
      </c>
      <c r="Z192" s="15" t="str">
        <f t="shared" si="25"/>
        <v>HELEN ROBERTS</v>
      </c>
      <c r="AA192" s="15" t="str">
        <f t="shared" si="26"/>
        <v>helen roberts</v>
      </c>
      <c r="AB192" s="40"/>
    </row>
    <row r="193" spans="1:28" ht="16.5" customHeight="1" x14ac:dyDescent="0.35">
      <c r="A193" s="31" t="s">
        <v>338</v>
      </c>
      <c r="B193" s="22">
        <v>45671</v>
      </c>
      <c r="C193" s="22" t="s">
        <v>234</v>
      </c>
      <c r="D193" s="22" t="s">
        <v>235</v>
      </c>
      <c r="E193" s="22" t="s">
        <v>105</v>
      </c>
      <c r="F193" s="22" t="s">
        <v>106</v>
      </c>
      <c r="G193" s="22" t="s">
        <v>46</v>
      </c>
      <c r="H193" s="22">
        <v>3</v>
      </c>
      <c r="I193" s="22" t="s">
        <v>35</v>
      </c>
      <c r="J193" s="22">
        <v>299.99</v>
      </c>
      <c r="K193" s="22" t="s">
        <v>26</v>
      </c>
      <c r="L193" s="22" t="s">
        <v>22</v>
      </c>
      <c r="M193" s="22">
        <v>899.97</v>
      </c>
      <c r="N193" s="32">
        <v>45204</v>
      </c>
      <c r="O193" s="41"/>
      <c r="S193" s="27">
        <f t="shared" ca="1" si="20"/>
        <v>45985</v>
      </c>
      <c r="T193" s="19">
        <f t="shared" ca="1" si="21"/>
        <v>45985.990154629631</v>
      </c>
      <c r="U193" s="15">
        <f t="shared" ca="1" si="27"/>
        <v>2</v>
      </c>
      <c r="V193" s="20">
        <f t="shared" ca="1" si="22"/>
        <v>45204</v>
      </c>
      <c r="W193" s="20">
        <f t="shared" si="23"/>
        <v>45322</v>
      </c>
      <c r="Y193" s="15" t="str">
        <f t="shared" si="24"/>
        <v>SP</v>
      </c>
      <c r="Z193" s="15" t="str">
        <f t="shared" si="25"/>
        <v>SANDRA PHILLIPS</v>
      </c>
      <c r="AA193" s="15" t="str">
        <f t="shared" si="26"/>
        <v>sandra phillips</v>
      </c>
      <c r="AB193" s="40"/>
    </row>
    <row r="194" spans="1:28" ht="16.5" customHeight="1" x14ac:dyDescent="0.35">
      <c r="A194" s="31" t="s">
        <v>339</v>
      </c>
      <c r="B194" s="22">
        <v>45673</v>
      </c>
      <c r="C194" s="22" t="s">
        <v>226</v>
      </c>
      <c r="D194" s="22" t="s">
        <v>227</v>
      </c>
      <c r="E194" s="22" t="s">
        <v>126</v>
      </c>
      <c r="F194" s="22" t="s">
        <v>127</v>
      </c>
      <c r="G194" s="22" t="s">
        <v>46</v>
      </c>
      <c r="H194" s="22">
        <v>4</v>
      </c>
      <c r="I194" s="22" t="s">
        <v>35</v>
      </c>
      <c r="J194" s="22">
        <v>199.99</v>
      </c>
      <c r="K194" s="22" t="s">
        <v>57</v>
      </c>
      <c r="L194" s="22" t="s">
        <v>36</v>
      </c>
      <c r="M194" s="22">
        <v>799.96</v>
      </c>
      <c r="N194" s="32">
        <v>44544</v>
      </c>
      <c r="O194" s="41"/>
      <c r="S194" s="26">
        <f t="shared" ref="S194:S251" ca="1" si="28">TODAY()</f>
        <v>45985</v>
      </c>
      <c r="T194" s="19">
        <f t="shared" ref="T194:T251" ca="1" si="29">NOW()</f>
        <v>45985.990154629631</v>
      </c>
      <c r="U194" s="15">
        <f t="shared" ca="1" si="27"/>
        <v>3</v>
      </c>
      <c r="V194" s="20">
        <f t="shared" ref="V194:V251" ca="1" si="30">IF(F194&lt;&gt;"", IF(N194="", NOW(), N194), "")</f>
        <v>44544</v>
      </c>
      <c r="W194" s="20">
        <f t="shared" ref="W194:W251" si="31">EOMONTH(N194,3)</f>
        <v>44651</v>
      </c>
      <c r="Y194" s="15" t="str">
        <f t="shared" ref="Y194:Y251" si="32">UPPER(LEFT(D194,1) &amp; MID(D194, FIND(" ", D194)+1, 1))</f>
        <v>LR</v>
      </c>
      <c r="Z194" s="15" t="str">
        <f t="shared" ref="Z194:Z251" si="33">UPPER(D194)</f>
        <v>LAWRENCE REED</v>
      </c>
      <c r="AA194" s="15" t="str">
        <f t="shared" ref="AA194:AA251" si="34">LOWER(D194)</f>
        <v>lawrence reed</v>
      </c>
      <c r="AB194" s="40"/>
    </row>
    <row r="195" spans="1:28" ht="16.5" customHeight="1" x14ac:dyDescent="0.35">
      <c r="A195" s="31" t="s">
        <v>340</v>
      </c>
      <c r="B195" s="22">
        <v>45673</v>
      </c>
      <c r="C195" s="22" t="s">
        <v>211</v>
      </c>
      <c r="D195" s="22" t="s">
        <v>212</v>
      </c>
      <c r="E195" s="22" t="s">
        <v>105</v>
      </c>
      <c r="F195" s="22" t="s">
        <v>106</v>
      </c>
      <c r="G195" s="22" t="s">
        <v>46</v>
      </c>
      <c r="H195" s="22">
        <v>5</v>
      </c>
      <c r="I195" s="22" t="s">
        <v>21</v>
      </c>
      <c r="J195" s="22">
        <v>299.99</v>
      </c>
      <c r="K195" s="22" t="s">
        <v>57</v>
      </c>
      <c r="L195" s="22" t="s">
        <v>22</v>
      </c>
      <c r="M195" s="22">
        <v>1499.95</v>
      </c>
      <c r="N195" s="32">
        <v>44431</v>
      </c>
      <c r="O195" s="41"/>
      <c r="S195" s="27">
        <f t="shared" ca="1" si="28"/>
        <v>45985</v>
      </c>
      <c r="T195" s="19">
        <f t="shared" ca="1" si="29"/>
        <v>45985.990154629631</v>
      </c>
      <c r="U195" s="15">
        <f t="shared" ref="U195:U251" ca="1" si="35">DATEDIF(N195,S195,"y")</f>
        <v>4</v>
      </c>
      <c r="V195" s="20">
        <f t="shared" ca="1" si="30"/>
        <v>44431</v>
      </c>
      <c r="W195" s="20">
        <f t="shared" si="31"/>
        <v>44530</v>
      </c>
      <c r="Y195" s="15" t="str">
        <f t="shared" si="32"/>
        <v>EH</v>
      </c>
      <c r="Z195" s="15" t="str">
        <f t="shared" si="33"/>
        <v>ELIZABETH HALL</v>
      </c>
      <c r="AA195" s="15" t="str">
        <f t="shared" si="34"/>
        <v>elizabeth hall</v>
      </c>
      <c r="AB195" s="40"/>
    </row>
    <row r="196" spans="1:28" ht="16.5" customHeight="1" x14ac:dyDescent="0.35">
      <c r="A196" s="31" t="s">
        <v>341</v>
      </c>
      <c r="B196" s="22">
        <v>45673</v>
      </c>
      <c r="C196" s="22" t="s">
        <v>59</v>
      </c>
      <c r="D196" s="22" t="s">
        <v>60</v>
      </c>
      <c r="E196" s="22" t="s">
        <v>44</v>
      </c>
      <c r="F196" s="22" t="s">
        <v>45</v>
      </c>
      <c r="G196" s="22" t="s">
        <v>46</v>
      </c>
      <c r="H196" s="22">
        <v>3</v>
      </c>
      <c r="I196" s="22" t="s">
        <v>63</v>
      </c>
      <c r="J196" s="22">
        <v>149.99</v>
      </c>
      <c r="K196" s="22" t="s">
        <v>26</v>
      </c>
      <c r="L196" s="22" t="s">
        <v>36</v>
      </c>
      <c r="M196" s="22">
        <v>449.97</v>
      </c>
      <c r="N196" s="32">
        <v>44395</v>
      </c>
      <c r="O196" s="41"/>
      <c r="S196" s="26">
        <f t="shared" ca="1" si="28"/>
        <v>45985</v>
      </c>
      <c r="T196" s="19">
        <f t="shared" ca="1" si="29"/>
        <v>45985.990154513885</v>
      </c>
      <c r="U196" s="15">
        <f t="shared" ca="1" si="35"/>
        <v>4</v>
      </c>
      <c r="V196" s="20">
        <f t="shared" ca="1" si="30"/>
        <v>44395</v>
      </c>
      <c r="W196" s="20">
        <f t="shared" si="31"/>
        <v>44500</v>
      </c>
      <c r="Y196" s="15" t="str">
        <f t="shared" si="32"/>
        <v>RT</v>
      </c>
      <c r="Z196" s="15" t="str">
        <f t="shared" si="33"/>
        <v>ROBERT THOMAS</v>
      </c>
      <c r="AA196" s="15" t="str">
        <f t="shared" si="34"/>
        <v>robert thomas</v>
      </c>
      <c r="AB196" s="40"/>
    </row>
    <row r="197" spans="1:28" ht="16.5" customHeight="1" x14ac:dyDescent="0.35">
      <c r="A197" s="31" t="s">
        <v>342</v>
      </c>
      <c r="B197" s="22">
        <v>45676</v>
      </c>
      <c r="C197" s="22" t="s">
        <v>129</v>
      </c>
      <c r="D197" s="22" t="s">
        <v>130</v>
      </c>
      <c r="E197" s="22" t="s">
        <v>31</v>
      </c>
      <c r="F197" s="22" t="s">
        <v>32</v>
      </c>
      <c r="G197" s="22" t="s">
        <v>33</v>
      </c>
      <c r="H197" s="22">
        <v>5</v>
      </c>
      <c r="I197" s="22" t="s">
        <v>63</v>
      </c>
      <c r="J197" s="22">
        <v>59.99</v>
      </c>
      <c r="K197" s="22" t="s">
        <v>57</v>
      </c>
      <c r="L197" s="22" t="s">
        <v>22</v>
      </c>
      <c r="M197" s="22">
        <v>299.95</v>
      </c>
      <c r="N197" s="32">
        <v>44642</v>
      </c>
      <c r="O197" s="41"/>
      <c r="S197" s="27">
        <f t="shared" ca="1" si="28"/>
        <v>45985</v>
      </c>
      <c r="T197" s="19">
        <f t="shared" ca="1" si="29"/>
        <v>45985.990154629631</v>
      </c>
      <c r="U197" s="15">
        <f t="shared" ca="1" si="35"/>
        <v>3</v>
      </c>
      <c r="V197" s="20">
        <f t="shared" ca="1" si="30"/>
        <v>44642</v>
      </c>
      <c r="W197" s="20">
        <f t="shared" si="31"/>
        <v>44742</v>
      </c>
      <c r="Y197" s="15" t="str">
        <f t="shared" si="32"/>
        <v>LA</v>
      </c>
      <c r="Z197" s="15" t="str">
        <f t="shared" si="33"/>
        <v>LISA ANDERSON</v>
      </c>
      <c r="AA197" s="15" t="str">
        <f t="shared" si="34"/>
        <v>lisa anderson</v>
      </c>
      <c r="AB197" s="40"/>
    </row>
    <row r="198" spans="1:28" ht="16.5" customHeight="1" x14ac:dyDescent="0.35">
      <c r="A198" s="31" t="s">
        <v>343</v>
      </c>
      <c r="B198" s="22">
        <v>45682</v>
      </c>
      <c r="C198" s="22" t="s">
        <v>68</v>
      </c>
      <c r="D198" s="22" t="s">
        <v>69</v>
      </c>
      <c r="E198" s="22" t="s">
        <v>31</v>
      </c>
      <c r="F198" s="22" t="s">
        <v>32</v>
      </c>
      <c r="G198" s="22" t="s">
        <v>33</v>
      </c>
      <c r="H198" s="22">
        <v>4</v>
      </c>
      <c r="I198" s="22" t="s">
        <v>63</v>
      </c>
      <c r="J198" s="22">
        <v>59.99</v>
      </c>
      <c r="K198" s="22" t="s">
        <v>57</v>
      </c>
      <c r="L198" s="22" t="s">
        <v>36</v>
      </c>
      <c r="M198" s="22">
        <v>239.96</v>
      </c>
      <c r="N198" s="32">
        <v>44564</v>
      </c>
      <c r="O198" s="41"/>
      <c r="S198" s="26">
        <f t="shared" ca="1" si="28"/>
        <v>45985</v>
      </c>
      <c r="T198" s="19">
        <f t="shared" ca="1" si="29"/>
        <v>45985.990154629631</v>
      </c>
      <c r="U198" s="15">
        <f t="shared" ca="1" si="35"/>
        <v>3</v>
      </c>
      <c r="V198" s="20">
        <f t="shared" ca="1" si="30"/>
        <v>44564</v>
      </c>
      <c r="W198" s="20">
        <f t="shared" si="31"/>
        <v>44681</v>
      </c>
      <c r="Y198" s="15" t="str">
        <f t="shared" si="32"/>
        <v>SG</v>
      </c>
      <c r="Z198" s="15" t="str">
        <f t="shared" si="33"/>
        <v>SUSAN GREEN</v>
      </c>
      <c r="AA198" s="15" t="str">
        <f t="shared" si="34"/>
        <v>susan green</v>
      </c>
      <c r="AB198" s="40"/>
    </row>
    <row r="199" spans="1:28" ht="16.5" customHeight="1" x14ac:dyDescent="0.35">
      <c r="A199" s="31" t="s">
        <v>344</v>
      </c>
      <c r="B199" s="22">
        <v>45683</v>
      </c>
      <c r="C199" s="22" t="s">
        <v>48</v>
      </c>
      <c r="D199" s="22" t="s">
        <v>49</v>
      </c>
      <c r="E199" s="22" t="s">
        <v>17</v>
      </c>
      <c r="F199" s="22" t="s">
        <v>18</v>
      </c>
      <c r="G199" s="22" t="s">
        <v>19</v>
      </c>
      <c r="H199" s="22">
        <v>4</v>
      </c>
      <c r="I199" s="22" t="s">
        <v>21</v>
      </c>
      <c r="J199" s="22">
        <v>249.99</v>
      </c>
      <c r="K199" s="22" t="s">
        <v>57</v>
      </c>
      <c r="L199" s="22" t="s">
        <v>27</v>
      </c>
      <c r="M199" s="22">
        <v>999.96</v>
      </c>
      <c r="N199" s="32">
        <v>45217</v>
      </c>
      <c r="O199" s="41"/>
      <c r="S199" s="27">
        <f t="shared" ca="1" si="28"/>
        <v>45985</v>
      </c>
      <c r="T199" s="19">
        <f t="shared" ca="1" si="29"/>
        <v>45985.990154629631</v>
      </c>
      <c r="U199" s="15">
        <f t="shared" ca="1" si="35"/>
        <v>2</v>
      </c>
      <c r="V199" s="20">
        <f t="shared" ca="1" si="30"/>
        <v>45217</v>
      </c>
      <c r="W199" s="20">
        <f t="shared" si="31"/>
        <v>45322</v>
      </c>
      <c r="Y199" s="15" t="str">
        <f t="shared" si="32"/>
        <v>DN</v>
      </c>
      <c r="Z199" s="15" t="str">
        <f t="shared" si="33"/>
        <v>DOROTHY NELSON</v>
      </c>
      <c r="AA199" s="15" t="str">
        <f t="shared" si="34"/>
        <v>dorothy nelson</v>
      </c>
      <c r="AB199" s="40"/>
    </row>
    <row r="200" spans="1:28" ht="16.5" customHeight="1" x14ac:dyDescent="0.35">
      <c r="A200" s="31" t="s">
        <v>345</v>
      </c>
      <c r="B200" s="22">
        <v>45686</v>
      </c>
      <c r="C200" s="22" t="s">
        <v>252</v>
      </c>
      <c r="D200" s="22" t="s">
        <v>253</v>
      </c>
      <c r="E200" s="22" t="s">
        <v>61</v>
      </c>
      <c r="F200" s="22" t="s">
        <v>62</v>
      </c>
      <c r="G200" s="22" t="s">
        <v>19</v>
      </c>
      <c r="H200" s="22">
        <v>4</v>
      </c>
      <c r="I200" s="22" t="s">
        <v>21</v>
      </c>
      <c r="J200" s="22">
        <v>899.99</v>
      </c>
      <c r="K200" s="22" t="s">
        <v>34</v>
      </c>
      <c r="L200" s="22" t="s">
        <v>22</v>
      </c>
      <c r="M200" s="22">
        <v>3599.96</v>
      </c>
      <c r="N200" s="32">
        <v>44734</v>
      </c>
      <c r="O200" s="41"/>
      <c r="S200" s="26">
        <f t="shared" ca="1" si="28"/>
        <v>45985</v>
      </c>
      <c r="T200" s="19">
        <f t="shared" ca="1" si="29"/>
        <v>45985.990154513885</v>
      </c>
      <c r="U200" s="15">
        <f t="shared" ca="1" si="35"/>
        <v>3</v>
      </c>
      <c r="V200" s="20">
        <f t="shared" ca="1" si="30"/>
        <v>44734</v>
      </c>
      <c r="W200" s="20">
        <f t="shared" si="31"/>
        <v>44834</v>
      </c>
      <c r="Y200" s="15" t="str">
        <f t="shared" si="32"/>
        <v>WW</v>
      </c>
      <c r="Z200" s="15" t="str">
        <f t="shared" si="33"/>
        <v>WILLIAM WHITE</v>
      </c>
      <c r="AA200" s="15" t="str">
        <f t="shared" si="34"/>
        <v>william white</v>
      </c>
      <c r="AB200" s="40"/>
    </row>
    <row r="201" spans="1:28" ht="16.5" customHeight="1" x14ac:dyDescent="0.35">
      <c r="A201" s="31" t="s">
        <v>346</v>
      </c>
      <c r="B201" s="22">
        <v>45686</v>
      </c>
      <c r="C201" s="22" t="s">
        <v>86</v>
      </c>
      <c r="D201" s="22" t="s">
        <v>87</v>
      </c>
      <c r="E201" s="22" t="s">
        <v>105</v>
      </c>
      <c r="F201" s="22" t="s">
        <v>106</v>
      </c>
      <c r="G201" s="22" t="s">
        <v>46</v>
      </c>
      <c r="H201" s="22">
        <v>3</v>
      </c>
      <c r="I201" s="22" t="s">
        <v>50</v>
      </c>
      <c r="J201" s="22">
        <v>299.99</v>
      </c>
      <c r="K201" s="22" t="s">
        <v>57</v>
      </c>
      <c r="L201" s="22" t="s">
        <v>36</v>
      </c>
      <c r="M201" s="22">
        <v>899.97</v>
      </c>
      <c r="N201" s="32">
        <v>44952</v>
      </c>
      <c r="O201" s="41"/>
      <c r="S201" s="27">
        <f t="shared" ca="1" si="28"/>
        <v>45985</v>
      </c>
      <c r="T201" s="19">
        <f t="shared" ca="1" si="29"/>
        <v>45985.990154629631</v>
      </c>
      <c r="U201" s="15">
        <f t="shared" ca="1" si="35"/>
        <v>2</v>
      </c>
      <c r="V201" s="20">
        <f t="shared" ca="1" si="30"/>
        <v>44952</v>
      </c>
      <c r="W201" s="20">
        <f t="shared" si="31"/>
        <v>45046</v>
      </c>
      <c r="Y201" s="15" t="str">
        <f t="shared" si="32"/>
        <v>MC</v>
      </c>
      <c r="Z201" s="15" t="str">
        <f t="shared" si="33"/>
        <v>MARK CARTER</v>
      </c>
      <c r="AA201" s="15" t="str">
        <f t="shared" si="34"/>
        <v>mark carter</v>
      </c>
      <c r="AB201" s="40"/>
    </row>
    <row r="202" spans="1:28" ht="16.5" customHeight="1" x14ac:dyDescent="0.35">
      <c r="A202" s="31" t="s">
        <v>347</v>
      </c>
      <c r="B202" s="22">
        <v>45686</v>
      </c>
      <c r="C202" s="22" t="s">
        <v>293</v>
      </c>
      <c r="D202" s="22" t="s">
        <v>294</v>
      </c>
      <c r="E202" s="22" t="s">
        <v>80</v>
      </c>
      <c r="F202" s="22" t="s">
        <v>81</v>
      </c>
      <c r="G202" s="22" t="s">
        <v>19</v>
      </c>
      <c r="H202" s="22">
        <v>2</v>
      </c>
      <c r="I202" s="22" t="s">
        <v>21</v>
      </c>
      <c r="J202" s="22">
        <v>699.99</v>
      </c>
      <c r="K202" s="22" t="s">
        <v>57</v>
      </c>
      <c r="L202" s="22" t="s">
        <v>27</v>
      </c>
      <c r="M202" s="22">
        <v>1399.98</v>
      </c>
      <c r="N202" s="32">
        <v>44681</v>
      </c>
      <c r="O202" s="41"/>
      <c r="S202" s="26">
        <f t="shared" ca="1" si="28"/>
        <v>45985</v>
      </c>
      <c r="T202" s="19">
        <f t="shared" ca="1" si="29"/>
        <v>45985.990154629631</v>
      </c>
      <c r="U202" s="15">
        <f t="shared" ca="1" si="35"/>
        <v>3</v>
      </c>
      <c r="V202" s="20">
        <f t="shared" ca="1" si="30"/>
        <v>44681</v>
      </c>
      <c r="W202" s="20">
        <f t="shared" si="31"/>
        <v>44773</v>
      </c>
      <c r="Y202" s="15" t="str">
        <f t="shared" si="32"/>
        <v>DW</v>
      </c>
      <c r="Z202" s="15" t="str">
        <f t="shared" si="33"/>
        <v>DOUGLAS WATSON</v>
      </c>
      <c r="AA202" s="15" t="str">
        <f t="shared" si="34"/>
        <v>douglas watson</v>
      </c>
      <c r="AB202" s="40"/>
    </row>
    <row r="203" spans="1:28" ht="16.5" customHeight="1" x14ac:dyDescent="0.35">
      <c r="A203" s="31" t="s">
        <v>348</v>
      </c>
      <c r="B203" s="22">
        <v>45688</v>
      </c>
      <c r="C203" s="22" t="s">
        <v>65</v>
      </c>
      <c r="D203" s="22" t="s">
        <v>66</v>
      </c>
      <c r="E203" s="22" t="s">
        <v>80</v>
      </c>
      <c r="F203" s="22" t="s">
        <v>81</v>
      </c>
      <c r="G203" s="22" t="s">
        <v>19</v>
      </c>
      <c r="H203" s="22">
        <v>4</v>
      </c>
      <c r="I203" s="22" t="s">
        <v>50</v>
      </c>
      <c r="J203" s="22">
        <v>699.99</v>
      </c>
      <c r="K203" s="22" t="s">
        <v>57</v>
      </c>
      <c r="L203" s="22" t="s">
        <v>27</v>
      </c>
      <c r="M203" s="22">
        <v>2799.96</v>
      </c>
      <c r="N203" s="32">
        <v>44692</v>
      </c>
      <c r="O203" s="41"/>
      <c r="S203" s="27">
        <f t="shared" ca="1" si="28"/>
        <v>45985</v>
      </c>
      <c r="T203" s="19">
        <f t="shared" ca="1" si="29"/>
        <v>45985.990154629631</v>
      </c>
      <c r="U203" s="15">
        <f t="shared" ca="1" si="35"/>
        <v>3</v>
      </c>
      <c r="V203" s="20">
        <f t="shared" ca="1" si="30"/>
        <v>44692</v>
      </c>
      <c r="W203" s="20">
        <f t="shared" si="31"/>
        <v>44804</v>
      </c>
      <c r="Y203" s="15" t="str">
        <f t="shared" si="32"/>
        <v>KH</v>
      </c>
      <c r="Z203" s="15" t="str">
        <f t="shared" si="33"/>
        <v>KAREN HILL</v>
      </c>
      <c r="AA203" s="15" t="str">
        <f t="shared" si="34"/>
        <v>karen hill</v>
      </c>
      <c r="AB203" s="40"/>
    </row>
    <row r="204" spans="1:28" ht="16.5" customHeight="1" x14ac:dyDescent="0.35">
      <c r="A204" s="31" t="s">
        <v>349</v>
      </c>
      <c r="B204" s="22">
        <v>45688</v>
      </c>
      <c r="C204" s="22" t="s">
        <v>123</v>
      </c>
      <c r="D204" s="22" t="s">
        <v>124</v>
      </c>
      <c r="E204" s="22" t="s">
        <v>117</v>
      </c>
      <c r="F204" s="22" t="s">
        <v>118</v>
      </c>
      <c r="G204" s="22" t="s">
        <v>19</v>
      </c>
      <c r="H204" s="22">
        <v>2</v>
      </c>
      <c r="I204" s="22" t="s">
        <v>35</v>
      </c>
      <c r="J204" s="22">
        <v>89.99</v>
      </c>
      <c r="K204" s="22" t="s">
        <v>57</v>
      </c>
      <c r="L204" s="22" t="s">
        <v>22</v>
      </c>
      <c r="M204" s="22">
        <v>179.98</v>
      </c>
      <c r="N204" s="32">
        <v>44777</v>
      </c>
      <c r="O204" s="41"/>
      <c r="S204" s="26">
        <f t="shared" ca="1" si="28"/>
        <v>45985</v>
      </c>
      <c r="T204" s="19">
        <f t="shared" ca="1" si="29"/>
        <v>45985.990154513885</v>
      </c>
      <c r="U204" s="15">
        <f t="shared" ca="1" si="35"/>
        <v>3</v>
      </c>
      <c r="V204" s="20">
        <f t="shared" ca="1" si="30"/>
        <v>44777</v>
      </c>
      <c r="W204" s="20">
        <f t="shared" si="31"/>
        <v>44895</v>
      </c>
      <c r="Y204" s="15" t="str">
        <f t="shared" si="32"/>
        <v>EM</v>
      </c>
      <c r="Z204" s="15" t="str">
        <f t="shared" si="33"/>
        <v>EDWARD MITCHELL</v>
      </c>
      <c r="AA204" s="15" t="str">
        <f t="shared" si="34"/>
        <v>edward mitchell</v>
      </c>
      <c r="AB204" s="40"/>
    </row>
    <row r="205" spans="1:28" ht="16.5" customHeight="1" x14ac:dyDescent="0.35">
      <c r="A205" s="31" t="s">
        <v>350</v>
      </c>
      <c r="B205" s="22">
        <v>45688</v>
      </c>
      <c r="C205" s="22" t="s">
        <v>42</v>
      </c>
      <c r="D205" s="22" t="s">
        <v>43</v>
      </c>
      <c r="E205" s="22" t="s">
        <v>117</v>
      </c>
      <c r="F205" s="22" t="s">
        <v>118</v>
      </c>
      <c r="G205" s="22" t="s">
        <v>19</v>
      </c>
      <c r="H205" s="22">
        <v>3</v>
      </c>
      <c r="I205" s="22" t="s">
        <v>35</v>
      </c>
      <c r="J205" s="22">
        <v>89.99</v>
      </c>
      <c r="K205" s="22" t="s">
        <v>57</v>
      </c>
      <c r="L205" s="22" t="s">
        <v>27</v>
      </c>
      <c r="M205" s="22">
        <v>269.97000000000003</v>
      </c>
      <c r="N205" s="32">
        <v>45307</v>
      </c>
      <c r="O205" s="41"/>
      <c r="S205" s="27">
        <f t="shared" ca="1" si="28"/>
        <v>45985</v>
      </c>
      <c r="T205" s="19">
        <f t="shared" ca="1" si="29"/>
        <v>45985.990154629631</v>
      </c>
      <c r="U205" s="15">
        <f t="shared" ca="1" si="35"/>
        <v>1</v>
      </c>
      <c r="V205" s="20">
        <f t="shared" ca="1" si="30"/>
        <v>45307</v>
      </c>
      <c r="W205" s="20">
        <f t="shared" si="31"/>
        <v>45412</v>
      </c>
      <c r="Y205" s="15" t="str">
        <f t="shared" si="32"/>
        <v>MB</v>
      </c>
      <c r="Z205" s="15" t="str">
        <f t="shared" si="33"/>
        <v>MICHAEL BROWN</v>
      </c>
      <c r="AA205" s="15" t="str">
        <f t="shared" si="34"/>
        <v>michael brown</v>
      </c>
      <c r="AB205" s="40"/>
    </row>
    <row r="206" spans="1:28" ht="16.5" customHeight="1" x14ac:dyDescent="0.35">
      <c r="A206" s="31" t="s">
        <v>351</v>
      </c>
      <c r="B206" s="22">
        <v>45692</v>
      </c>
      <c r="C206" s="22" t="s">
        <v>325</v>
      </c>
      <c r="D206" s="22" t="s">
        <v>326</v>
      </c>
      <c r="E206" s="22" t="s">
        <v>31</v>
      </c>
      <c r="F206" s="22" t="s">
        <v>32</v>
      </c>
      <c r="G206" s="22" t="s">
        <v>33</v>
      </c>
      <c r="H206" s="22">
        <v>1</v>
      </c>
      <c r="I206" s="22" t="s">
        <v>21</v>
      </c>
      <c r="J206" s="22">
        <v>59.99</v>
      </c>
      <c r="K206" s="22" t="s">
        <v>57</v>
      </c>
      <c r="L206" s="22" t="s">
        <v>36</v>
      </c>
      <c r="M206" s="22">
        <v>59.99</v>
      </c>
      <c r="N206" s="32">
        <v>45045</v>
      </c>
      <c r="O206" s="41"/>
      <c r="S206" s="26">
        <f t="shared" ca="1" si="28"/>
        <v>45985</v>
      </c>
      <c r="T206" s="19">
        <f t="shared" ca="1" si="29"/>
        <v>45985.990154629631</v>
      </c>
      <c r="U206" s="15">
        <f t="shared" ca="1" si="35"/>
        <v>2</v>
      </c>
      <c r="V206" s="20">
        <f t="shared" ca="1" si="30"/>
        <v>45045</v>
      </c>
      <c r="W206" s="20">
        <f t="shared" si="31"/>
        <v>45138</v>
      </c>
      <c r="Y206" s="15" t="str">
        <f t="shared" si="32"/>
        <v>AE</v>
      </c>
      <c r="Z206" s="15" t="str">
        <f t="shared" si="33"/>
        <v>ARTHUR EDWARDS</v>
      </c>
      <c r="AA206" s="15" t="str">
        <f t="shared" si="34"/>
        <v>arthur edwards</v>
      </c>
      <c r="AB206" s="40"/>
    </row>
    <row r="207" spans="1:28" ht="16.5" customHeight="1" x14ac:dyDescent="0.35">
      <c r="A207" s="31" t="s">
        <v>352</v>
      </c>
      <c r="B207" s="22">
        <v>45695</v>
      </c>
      <c r="C207" s="22" t="s">
        <v>246</v>
      </c>
      <c r="D207" s="22" t="s">
        <v>247</v>
      </c>
      <c r="E207" s="22" t="s">
        <v>44</v>
      </c>
      <c r="F207" s="22" t="s">
        <v>45</v>
      </c>
      <c r="G207" s="22" t="s">
        <v>46</v>
      </c>
      <c r="H207" s="22">
        <v>3</v>
      </c>
      <c r="I207" s="22" t="s">
        <v>40</v>
      </c>
      <c r="J207" s="22">
        <v>149.99</v>
      </c>
      <c r="K207" s="22" t="s">
        <v>57</v>
      </c>
      <c r="L207" s="22" t="s">
        <v>27</v>
      </c>
      <c r="M207" s="22">
        <v>449.97</v>
      </c>
      <c r="N207" s="32">
        <v>44564</v>
      </c>
      <c r="O207" s="41"/>
      <c r="S207" s="27">
        <f t="shared" ca="1" si="28"/>
        <v>45985</v>
      </c>
      <c r="T207" s="19">
        <f t="shared" ca="1" si="29"/>
        <v>45985.990154629631</v>
      </c>
      <c r="U207" s="15">
        <f t="shared" ca="1" si="35"/>
        <v>3</v>
      </c>
      <c r="V207" s="20">
        <f t="shared" ca="1" si="30"/>
        <v>44564</v>
      </c>
      <c r="W207" s="20">
        <f t="shared" si="31"/>
        <v>44681</v>
      </c>
      <c r="Y207" s="15" t="str">
        <f t="shared" si="32"/>
        <v>RB</v>
      </c>
      <c r="Z207" s="15" t="str">
        <f t="shared" si="33"/>
        <v>RUTH BROOKS</v>
      </c>
      <c r="AA207" s="15" t="str">
        <f t="shared" si="34"/>
        <v>ruth brooks</v>
      </c>
      <c r="AB207" s="40"/>
    </row>
    <row r="208" spans="1:28" ht="16.5" customHeight="1" x14ac:dyDescent="0.35">
      <c r="A208" s="31" t="s">
        <v>353</v>
      </c>
      <c r="B208" s="22">
        <v>45695</v>
      </c>
      <c r="C208" s="22" t="s">
        <v>93</v>
      </c>
      <c r="D208" s="22" t="s">
        <v>94</v>
      </c>
      <c r="E208" s="22" t="s">
        <v>105</v>
      </c>
      <c r="F208" s="22" t="s">
        <v>106</v>
      </c>
      <c r="G208" s="22" t="s">
        <v>46</v>
      </c>
      <c r="H208" s="22">
        <v>5</v>
      </c>
      <c r="I208" s="22" t="s">
        <v>35</v>
      </c>
      <c r="J208" s="22">
        <v>299.99</v>
      </c>
      <c r="K208" s="22" t="s">
        <v>26</v>
      </c>
      <c r="L208" s="22" t="s">
        <v>22</v>
      </c>
      <c r="M208" s="22">
        <v>1499.95</v>
      </c>
      <c r="N208" s="32">
        <v>44959</v>
      </c>
      <c r="O208" s="41"/>
      <c r="S208" s="26">
        <f t="shared" ca="1" si="28"/>
        <v>45985</v>
      </c>
      <c r="T208" s="19">
        <f t="shared" ca="1" si="29"/>
        <v>45985.990154513885</v>
      </c>
      <c r="U208" s="15">
        <f t="shared" ca="1" si="35"/>
        <v>2</v>
      </c>
      <c r="V208" s="20">
        <f t="shared" ca="1" si="30"/>
        <v>44959</v>
      </c>
      <c r="W208" s="20">
        <f t="shared" si="31"/>
        <v>45077</v>
      </c>
      <c r="Y208" s="15" t="str">
        <f t="shared" si="32"/>
        <v>VS</v>
      </c>
      <c r="Z208" s="15" t="str">
        <f t="shared" si="33"/>
        <v>VIRGINIA SANDERS</v>
      </c>
      <c r="AA208" s="15" t="str">
        <f t="shared" si="34"/>
        <v>virginia sanders</v>
      </c>
      <c r="AB208" s="40"/>
    </row>
    <row r="209" spans="1:28" ht="16.5" customHeight="1" x14ac:dyDescent="0.35">
      <c r="A209" s="31" t="s">
        <v>354</v>
      </c>
      <c r="B209" s="22">
        <v>45696</v>
      </c>
      <c r="C209" s="22" t="s">
        <v>150</v>
      </c>
      <c r="D209" s="22" t="s">
        <v>151</v>
      </c>
      <c r="E209" s="22" t="s">
        <v>31</v>
      </c>
      <c r="F209" s="22" t="s">
        <v>32</v>
      </c>
      <c r="G209" s="22" t="s">
        <v>33</v>
      </c>
      <c r="H209" s="22">
        <v>5</v>
      </c>
      <c r="I209" s="22" t="s">
        <v>21</v>
      </c>
      <c r="J209" s="22">
        <v>59.99</v>
      </c>
      <c r="K209" s="22" t="s">
        <v>57</v>
      </c>
      <c r="L209" s="22" t="s">
        <v>36</v>
      </c>
      <c r="M209" s="22">
        <v>299.95</v>
      </c>
      <c r="N209" s="32">
        <v>45177</v>
      </c>
      <c r="O209" s="41"/>
      <c r="S209" s="27">
        <f t="shared" ca="1" si="28"/>
        <v>45985</v>
      </c>
      <c r="T209" s="19">
        <f t="shared" ca="1" si="29"/>
        <v>45985.990154629631</v>
      </c>
      <c r="U209" s="15">
        <f t="shared" ca="1" si="35"/>
        <v>2</v>
      </c>
      <c r="V209" s="20">
        <f t="shared" ca="1" si="30"/>
        <v>45177</v>
      </c>
      <c r="W209" s="20">
        <f t="shared" si="31"/>
        <v>45291</v>
      </c>
      <c r="Y209" s="15" t="str">
        <f t="shared" si="32"/>
        <v>SB</v>
      </c>
      <c r="Z209" s="15" t="str">
        <f t="shared" si="33"/>
        <v>SHARON BUTLER</v>
      </c>
      <c r="AA209" s="15" t="str">
        <f t="shared" si="34"/>
        <v>sharon butler</v>
      </c>
      <c r="AB209" s="40"/>
    </row>
    <row r="210" spans="1:28" ht="16.5" customHeight="1" x14ac:dyDescent="0.35">
      <c r="A210" s="31" t="s">
        <v>355</v>
      </c>
      <c r="B210" s="22">
        <v>45701</v>
      </c>
      <c r="C210" s="22" t="s">
        <v>108</v>
      </c>
      <c r="D210" s="22" t="s">
        <v>109</v>
      </c>
      <c r="E210" s="22" t="s">
        <v>114</v>
      </c>
      <c r="F210" s="22" t="s">
        <v>115</v>
      </c>
      <c r="G210" s="22" t="s">
        <v>33</v>
      </c>
      <c r="H210" s="22">
        <v>3</v>
      </c>
      <c r="I210" s="22" t="s">
        <v>63</v>
      </c>
      <c r="J210" s="22">
        <v>79.989999999999995</v>
      </c>
      <c r="K210" s="22" t="s">
        <v>20</v>
      </c>
      <c r="L210" s="22" t="s">
        <v>27</v>
      </c>
      <c r="M210" s="22">
        <v>239.97</v>
      </c>
      <c r="N210" s="32">
        <v>44436</v>
      </c>
      <c r="O210" s="41"/>
      <c r="S210" s="26">
        <f t="shared" ca="1" si="28"/>
        <v>45985</v>
      </c>
      <c r="T210" s="19">
        <f t="shared" ca="1" si="29"/>
        <v>45985.990154629631</v>
      </c>
      <c r="U210" s="15">
        <f t="shared" ca="1" si="35"/>
        <v>4</v>
      </c>
      <c r="V210" s="20">
        <f t="shared" ca="1" si="30"/>
        <v>44436</v>
      </c>
      <c r="W210" s="20">
        <f t="shared" si="31"/>
        <v>44530</v>
      </c>
      <c r="Y210" s="15" t="str">
        <f t="shared" si="32"/>
        <v>NC</v>
      </c>
      <c r="Z210" s="15" t="str">
        <f t="shared" si="33"/>
        <v>NANCY COLLINS</v>
      </c>
      <c r="AA210" s="15" t="str">
        <f t="shared" si="34"/>
        <v>nancy collins</v>
      </c>
      <c r="AB210" s="40"/>
    </row>
    <row r="211" spans="1:28" ht="16.5" customHeight="1" x14ac:dyDescent="0.35">
      <c r="A211" s="31" t="s">
        <v>356</v>
      </c>
      <c r="B211" s="22">
        <v>45704</v>
      </c>
      <c r="C211" s="22" t="s">
        <v>29</v>
      </c>
      <c r="D211" s="22" t="s">
        <v>30</v>
      </c>
      <c r="E211" s="22" t="s">
        <v>126</v>
      </c>
      <c r="F211" s="22" t="s">
        <v>127</v>
      </c>
      <c r="G211" s="22" t="s">
        <v>46</v>
      </c>
      <c r="H211" s="22">
        <v>3</v>
      </c>
      <c r="I211" s="22" t="s">
        <v>21</v>
      </c>
      <c r="J211" s="22">
        <v>199.99</v>
      </c>
      <c r="K211" s="22" t="s">
        <v>20</v>
      </c>
      <c r="L211" s="22" t="s">
        <v>22</v>
      </c>
      <c r="M211" s="22">
        <v>599.97</v>
      </c>
      <c r="N211" s="32">
        <v>44735</v>
      </c>
      <c r="O211" s="41"/>
      <c r="S211" s="27">
        <f t="shared" ca="1" si="28"/>
        <v>45985</v>
      </c>
      <c r="T211" s="19">
        <f t="shared" ca="1" si="29"/>
        <v>45985.990154629631</v>
      </c>
      <c r="U211" s="15">
        <f t="shared" ca="1" si="35"/>
        <v>3</v>
      </c>
      <c r="V211" s="20">
        <f t="shared" ca="1" si="30"/>
        <v>44735</v>
      </c>
      <c r="W211" s="20">
        <f t="shared" si="31"/>
        <v>44834</v>
      </c>
      <c r="Y211" s="15" t="str">
        <f t="shared" si="32"/>
        <v>KS</v>
      </c>
      <c r="Z211" s="15" t="str">
        <f t="shared" si="33"/>
        <v>KEVIN SCOTT</v>
      </c>
      <c r="AA211" s="15" t="str">
        <f t="shared" si="34"/>
        <v>kevin scott</v>
      </c>
      <c r="AB211" s="40"/>
    </row>
    <row r="212" spans="1:28" ht="16.5" customHeight="1" x14ac:dyDescent="0.35">
      <c r="A212" s="31" t="s">
        <v>357</v>
      </c>
      <c r="B212" s="22">
        <v>45704</v>
      </c>
      <c r="C212" s="22" t="s">
        <v>15</v>
      </c>
      <c r="D212" s="22" t="s">
        <v>16</v>
      </c>
      <c r="E212" s="22" t="s">
        <v>117</v>
      </c>
      <c r="F212" s="22" t="s">
        <v>118</v>
      </c>
      <c r="G212" s="22" t="s">
        <v>19</v>
      </c>
      <c r="H212" s="22">
        <v>2</v>
      </c>
      <c r="I212" s="22" t="s">
        <v>21</v>
      </c>
      <c r="J212" s="22">
        <v>89.99</v>
      </c>
      <c r="K212" s="22" t="s">
        <v>34</v>
      </c>
      <c r="L212" s="22" t="s">
        <v>22</v>
      </c>
      <c r="M212" s="22">
        <v>179.98</v>
      </c>
      <c r="N212" s="32">
        <v>45257</v>
      </c>
      <c r="O212" s="41"/>
      <c r="S212" s="26">
        <f t="shared" ca="1" si="28"/>
        <v>45985</v>
      </c>
      <c r="T212" s="19">
        <f t="shared" ca="1" si="29"/>
        <v>45985.990154513885</v>
      </c>
      <c r="U212" s="15">
        <f t="shared" ca="1" si="35"/>
        <v>1</v>
      </c>
      <c r="V212" s="20">
        <f t="shared" ca="1" si="30"/>
        <v>45257</v>
      </c>
      <c r="W212" s="20">
        <f t="shared" si="31"/>
        <v>45351</v>
      </c>
      <c r="Y212" s="15" t="str">
        <f t="shared" si="32"/>
        <v>PB</v>
      </c>
      <c r="Z212" s="15" t="str">
        <f t="shared" si="33"/>
        <v>PAUL BAKER</v>
      </c>
      <c r="AA212" s="15" t="str">
        <f t="shared" si="34"/>
        <v>paul baker</v>
      </c>
      <c r="AB212" s="40"/>
    </row>
    <row r="213" spans="1:28" ht="16.5" customHeight="1" x14ac:dyDescent="0.35">
      <c r="A213" s="31" t="s">
        <v>358</v>
      </c>
      <c r="B213" s="22">
        <v>45705</v>
      </c>
      <c r="C213" s="22" t="s">
        <v>259</v>
      </c>
      <c r="D213" s="22" t="s">
        <v>260</v>
      </c>
      <c r="E213" s="22" t="s">
        <v>44</v>
      </c>
      <c r="F213" s="22" t="s">
        <v>45</v>
      </c>
      <c r="G213" s="22" t="s">
        <v>46</v>
      </c>
      <c r="H213" s="22">
        <v>2</v>
      </c>
      <c r="I213" s="22" t="s">
        <v>35</v>
      </c>
      <c r="J213" s="22">
        <v>149.99</v>
      </c>
      <c r="K213" s="22" t="s">
        <v>20</v>
      </c>
      <c r="L213" s="22" t="s">
        <v>27</v>
      </c>
      <c r="M213" s="22">
        <v>299.98</v>
      </c>
      <c r="N213" s="32">
        <v>44728</v>
      </c>
      <c r="O213" s="41"/>
      <c r="S213" s="27">
        <f t="shared" ca="1" si="28"/>
        <v>45985</v>
      </c>
      <c r="T213" s="19">
        <f t="shared" ca="1" si="29"/>
        <v>45985.990154629631</v>
      </c>
      <c r="U213" s="15">
        <f t="shared" ca="1" si="35"/>
        <v>3</v>
      </c>
      <c r="V213" s="20">
        <f t="shared" ca="1" si="30"/>
        <v>44728</v>
      </c>
      <c r="W213" s="20">
        <f t="shared" si="31"/>
        <v>44834</v>
      </c>
      <c r="Y213" s="15" t="str">
        <f t="shared" si="32"/>
        <v>RL</v>
      </c>
      <c r="Z213" s="15" t="str">
        <f t="shared" si="33"/>
        <v>RICHARD LEE</v>
      </c>
      <c r="AA213" s="15" t="str">
        <f t="shared" si="34"/>
        <v>richard lee</v>
      </c>
      <c r="AB213" s="40"/>
    </row>
    <row r="214" spans="1:28" ht="16.5" customHeight="1" x14ac:dyDescent="0.35">
      <c r="A214" s="31" t="s">
        <v>359</v>
      </c>
      <c r="B214" s="22">
        <v>45707</v>
      </c>
      <c r="C214" s="22" t="s">
        <v>123</v>
      </c>
      <c r="D214" s="22" t="s">
        <v>124</v>
      </c>
      <c r="E214" s="22" t="s">
        <v>80</v>
      </c>
      <c r="F214" s="22" t="s">
        <v>81</v>
      </c>
      <c r="G214" s="22" t="s">
        <v>19</v>
      </c>
      <c r="H214" s="22">
        <v>5</v>
      </c>
      <c r="I214" s="22" t="s">
        <v>35</v>
      </c>
      <c r="J214" s="22">
        <v>699.99</v>
      </c>
      <c r="K214" s="22" t="s">
        <v>34</v>
      </c>
      <c r="L214" s="22" t="s">
        <v>27</v>
      </c>
      <c r="M214" s="22">
        <v>3499.95</v>
      </c>
      <c r="N214" s="32">
        <v>45352</v>
      </c>
      <c r="O214" s="41"/>
      <c r="S214" s="26">
        <f t="shared" ca="1" si="28"/>
        <v>45985</v>
      </c>
      <c r="T214" s="19">
        <f t="shared" ca="1" si="29"/>
        <v>45985.990154629631</v>
      </c>
      <c r="U214" s="15">
        <f t="shared" ca="1" si="35"/>
        <v>1</v>
      </c>
      <c r="V214" s="20">
        <f t="shared" ca="1" si="30"/>
        <v>45352</v>
      </c>
      <c r="W214" s="20">
        <f t="shared" si="31"/>
        <v>45473</v>
      </c>
      <c r="Y214" s="15" t="str">
        <f t="shared" si="32"/>
        <v>EM</v>
      </c>
      <c r="Z214" s="15" t="str">
        <f t="shared" si="33"/>
        <v>EDWARD MITCHELL</v>
      </c>
      <c r="AA214" s="15" t="str">
        <f t="shared" si="34"/>
        <v>edward mitchell</v>
      </c>
      <c r="AB214" s="40"/>
    </row>
    <row r="215" spans="1:28" ht="16.5" customHeight="1" x14ac:dyDescent="0.35">
      <c r="A215" s="31" t="s">
        <v>360</v>
      </c>
      <c r="B215" s="22">
        <v>45707</v>
      </c>
      <c r="C215" s="22" t="s">
        <v>42</v>
      </c>
      <c r="D215" s="22" t="s">
        <v>43</v>
      </c>
      <c r="E215" s="22" t="s">
        <v>44</v>
      </c>
      <c r="F215" s="22" t="s">
        <v>45</v>
      </c>
      <c r="G215" s="22" t="s">
        <v>46</v>
      </c>
      <c r="H215" s="22">
        <v>3</v>
      </c>
      <c r="I215" s="22" t="s">
        <v>21</v>
      </c>
      <c r="J215" s="22">
        <v>149.99</v>
      </c>
      <c r="K215" s="22" t="s">
        <v>34</v>
      </c>
      <c r="L215" s="22" t="s">
        <v>36</v>
      </c>
      <c r="M215" s="22">
        <v>449.97</v>
      </c>
      <c r="N215" s="32">
        <v>44633</v>
      </c>
      <c r="O215" s="41"/>
      <c r="S215" s="27">
        <f t="shared" ca="1" si="28"/>
        <v>45985</v>
      </c>
      <c r="T215" s="19">
        <f t="shared" ca="1" si="29"/>
        <v>45985.990154629631</v>
      </c>
      <c r="U215" s="15">
        <f t="shared" ca="1" si="35"/>
        <v>3</v>
      </c>
      <c r="V215" s="20">
        <f t="shared" ca="1" si="30"/>
        <v>44633</v>
      </c>
      <c r="W215" s="20">
        <f t="shared" si="31"/>
        <v>44742</v>
      </c>
      <c r="Y215" s="15" t="str">
        <f t="shared" si="32"/>
        <v>MB</v>
      </c>
      <c r="Z215" s="15" t="str">
        <f t="shared" si="33"/>
        <v>MICHAEL BROWN</v>
      </c>
      <c r="AA215" s="15" t="str">
        <f t="shared" si="34"/>
        <v>michael brown</v>
      </c>
      <c r="AB215" s="40"/>
    </row>
    <row r="216" spans="1:28" ht="16.5" customHeight="1" x14ac:dyDescent="0.35">
      <c r="A216" s="31" t="s">
        <v>361</v>
      </c>
      <c r="B216" s="22">
        <v>45708</v>
      </c>
      <c r="C216" s="22" t="s">
        <v>96</v>
      </c>
      <c r="D216" s="22" t="s">
        <v>97</v>
      </c>
      <c r="E216" s="22" t="s">
        <v>61</v>
      </c>
      <c r="F216" s="22" t="s">
        <v>62</v>
      </c>
      <c r="G216" s="22" t="s">
        <v>19</v>
      </c>
      <c r="H216" s="22">
        <v>3</v>
      </c>
      <c r="I216" s="22" t="s">
        <v>63</v>
      </c>
      <c r="J216" s="22">
        <v>899.99</v>
      </c>
      <c r="K216" s="22" t="s">
        <v>20</v>
      </c>
      <c r="L216" s="22" t="s">
        <v>36</v>
      </c>
      <c r="M216" s="22">
        <v>2699.97</v>
      </c>
      <c r="N216" s="32">
        <v>44613</v>
      </c>
      <c r="O216" s="41"/>
      <c r="S216" s="26">
        <f t="shared" ca="1" si="28"/>
        <v>45985</v>
      </c>
      <c r="T216" s="19">
        <f t="shared" ca="1" si="29"/>
        <v>45985.990154513885</v>
      </c>
      <c r="U216" s="15">
        <f t="shared" ca="1" si="35"/>
        <v>3</v>
      </c>
      <c r="V216" s="20">
        <f t="shared" ca="1" si="30"/>
        <v>44613</v>
      </c>
      <c r="W216" s="20">
        <f t="shared" si="31"/>
        <v>44712</v>
      </c>
      <c r="Y216" s="15" t="str">
        <f t="shared" si="32"/>
        <v>BY</v>
      </c>
      <c r="Z216" s="15" t="str">
        <f t="shared" si="33"/>
        <v>BARBARA YOUNG</v>
      </c>
      <c r="AA216" s="15" t="str">
        <f t="shared" si="34"/>
        <v>barbara young</v>
      </c>
      <c r="AB216" s="40"/>
    </row>
    <row r="217" spans="1:28" ht="16.5" customHeight="1" x14ac:dyDescent="0.35">
      <c r="A217" s="31" t="s">
        <v>362</v>
      </c>
      <c r="B217" s="22">
        <v>45708</v>
      </c>
      <c r="C217" s="22" t="s">
        <v>192</v>
      </c>
      <c r="D217" s="22" t="s">
        <v>193</v>
      </c>
      <c r="E217" s="22" t="s">
        <v>126</v>
      </c>
      <c r="F217" s="22" t="s">
        <v>127</v>
      </c>
      <c r="G217" s="22" t="s">
        <v>46</v>
      </c>
      <c r="H217" s="22">
        <v>3</v>
      </c>
      <c r="I217" s="22" t="s">
        <v>50</v>
      </c>
      <c r="J217" s="22">
        <v>199.99</v>
      </c>
      <c r="K217" s="22" t="s">
        <v>20</v>
      </c>
      <c r="L217" s="22" t="s">
        <v>27</v>
      </c>
      <c r="M217" s="22">
        <v>599.97</v>
      </c>
      <c r="N217" s="32">
        <v>44823</v>
      </c>
      <c r="O217" s="41"/>
      <c r="S217" s="27">
        <f t="shared" ca="1" si="28"/>
        <v>45985</v>
      </c>
      <c r="T217" s="19">
        <f t="shared" ca="1" si="29"/>
        <v>45985.990154629631</v>
      </c>
      <c r="U217" s="15">
        <f t="shared" ca="1" si="35"/>
        <v>3</v>
      </c>
      <c r="V217" s="20">
        <f t="shared" ca="1" si="30"/>
        <v>44823</v>
      </c>
      <c r="W217" s="20">
        <f t="shared" si="31"/>
        <v>44926</v>
      </c>
      <c r="Y217" s="15" t="str">
        <f t="shared" si="32"/>
        <v>FT</v>
      </c>
      <c r="Z217" s="15" t="str">
        <f t="shared" si="33"/>
        <v>FRANK TORRES</v>
      </c>
      <c r="AA217" s="15" t="str">
        <f t="shared" si="34"/>
        <v>frank torres</v>
      </c>
      <c r="AB217" s="40"/>
    </row>
    <row r="218" spans="1:28" ht="16.5" customHeight="1" x14ac:dyDescent="0.35">
      <c r="A218" s="31" t="s">
        <v>363</v>
      </c>
      <c r="B218" s="22">
        <v>45710</v>
      </c>
      <c r="C218" s="22" t="s">
        <v>55</v>
      </c>
      <c r="D218" s="22" t="s">
        <v>56</v>
      </c>
      <c r="E218" s="22" t="s">
        <v>105</v>
      </c>
      <c r="F218" s="22" t="s">
        <v>106</v>
      </c>
      <c r="G218" s="22" t="s">
        <v>46</v>
      </c>
      <c r="H218" s="22">
        <v>5</v>
      </c>
      <c r="I218" s="22" t="s">
        <v>50</v>
      </c>
      <c r="J218" s="22">
        <v>299.99</v>
      </c>
      <c r="K218" s="22" t="s">
        <v>20</v>
      </c>
      <c r="L218" s="22" t="s">
        <v>36</v>
      </c>
      <c r="M218" s="22">
        <v>1499.95</v>
      </c>
      <c r="N218" s="32">
        <v>45142</v>
      </c>
      <c r="O218" s="41"/>
      <c r="S218" s="26">
        <f t="shared" ca="1" si="28"/>
        <v>45985</v>
      </c>
      <c r="T218" s="19">
        <f t="shared" ca="1" si="29"/>
        <v>45985.990154629631</v>
      </c>
      <c r="U218" s="15">
        <f t="shared" ca="1" si="35"/>
        <v>2</v>
      </c>
      <c r="V218" s="20">
        <f t="shared" ca="1" si="30"/>
        <v>45142</v>
      </c>
      <c r="W218" s="20">
        <f t="shared" si="31"/>
        <v>45260</v>
      </c>
      <c r="Y218" s="15" t="str">
        <f t="shared" si="32"/>
        <v>CA</v>
      </c>
      <c r="Z218" s="15" t="str">
        <f t="shared" si="33"/>
        <v>CHARLES ALLEN</v>
      </c>
      <c r="AA218" s="15" t="str">
        <f t="shared" si="34"/>
        <v>charles allen</v>
      </c>
      <c r="AB218" s="40"/>
    </row>
    <row r="219" spans="1:28" ht="16.5" customHeight="1" x14ac:dyDescent="0.35">
      <c r="A219" s="31" t="s">
        <v>364</v>
      </c>
      <c r="B219" s="22">
        <v>45710</v>
      </c>
      <c r="C219" s="22" t="s">
        <v>150</v>
      </c>
      <c r="D219" s="22" t="s">
        <v>151</v>
      </c>
      <c r="E219" s="22" t="s">
        <v>80</v>
      </c>
      <c r="F219" s="22" t="s">
        <v>81</v>
      </c>
      <c r="G219" s="22" t="s">
        <v>19</v>
      </c>
      <c r="H219" s="22">
        <v>1</v>
      </c>
      <c r="I219" s="22" t="s">
        <v>50</v>
      </c>
      <c r="J219" s="22">
        <v>699.99</v>
      </c>
      <c r="K219" s="22" t="s">
        <v>34</v>
      </c>
      <c r="L219" s="22" t="s">
        <v>22</v>
      </c>
      <c r="M219" s="22">
        <v>699.99</v>
      </c>
      <c r="N219" s="32">
        <v>44934</v>
      </c>
      <c r="O219" s="41"/>
      <c r="S219" s="27">
        <f t="shared" ca="1" si="28"/>
        <v>45985</v>
      </c>
      <c r="T219" s="19">
        <f t="shared" ca="1" si="29"/>
        <v>45985.990154629631</v>
      </c>
      <c r="U219" s="15">
        <f t="shared" ca="1" si="35"/>
        <v>2</v>
      </c>
      <c r="V219" s="20">
        <f t="shared" ca="1" si="30"/>
        <v>44934</v>
      </c>
      <c r="W219" s="20">
        <f t="shared" si="31"/>
        <v>45046</v>
      </c>
      <c r="Y219" s="15" t="str">
        <f t="shared" si="32"/>
        <v>SB</v>
      </c>
      <c r="Z219" s="15" t="str">
        <f t="shared" si="33"/>
        <v>SHARON BUTLER</v>
      </c>
      <c r="AA219" s="15" t="str">
        <f t="shared" si="34"/>
        <v>sharon butler</v>
      </c>
      <c r="AB219" s="40"/>
    </row>
    <row r="220" spans="1:28" ht="16.5" customHeight="1" x14ac:dyDescent="0.35">
      <c r="A220" s="31" t="s">
        <v>365</v>
      </c>
      <c r="B220" s="22">
        <v>45711</v>
      </c>
      <c r="C220" s="22" t="s">
        <v>246</v>
      </c>
      <c r="D220" s="22" t="s">
        <v>247</v>
      </c>
      <c r="E220" s="22" t="s">
        <v>80</v>
      </c>
      <c r="F220" s="22" t="s">
        <v>81</v>
      </c>
      <c r="G220" s="22" t="s">
        <v>19</v>
      </c>
      <c r="H220" s="22">
        <v>1</v>
      </c>
      <c r="I220" s="22" t="s">
        <v>40</v>
      </c>
      <c r="J220" s="22">
        <v>699.99</v>
      </c>
      <c r="K220" s="22" t="s">
        <v>20</v>
      </c>
      <c r="L220" s="22" t="s">
        <v>27</v>
      </c>
      <c r="M220" s="22">
        <v>699.99</v>
      </c>
      <c r="N220" s="32">
        <v>44583</v>
      </c>
      <c r="O220" s="41"/>
      <c r="S220" s="26">
        <f t="shared" ca="1" si="28"/>
        <v>45985</v>
      </c>
      <c r="T220" s="19">
        <f t="shared" ca="1" si="29"/>
        <v>45985.990154513885</v>
      </c>
      <c r="U220" s="15">
        <f t="shared" ca="1" si="35"/>
        <v>3</v>
      </c>
      <c r="V220" s="20">
        <f t="shared" ca="1" si="30"/>
        <v>44583</v>
      </c>
      <c r="W220" s="20">
        <f t="shared" si="31"/>
        <v>44681</v>
      </c>
      <c r="Y220" s="15" t="str">
        <f t="shared" si="32"/>
        <v>RB</v>
      </c>
      <c r="Z220" s="15" t="str">
        <f t="shared" si="33"/>
        <v>RUTH BROOKS</v>
      </c>
      <c r="AA220" s="15" t="str">
        <f t="shared" si="34"/>
        <v>ruth brooks</v>
      </c>
      <c r="AB220" s="40"/>
    </row>
    <row r="221" spans="1:28" ht="16.5" customHeight="1" x14ac:dyDescent="0.35">
      <c r="A221" s="31" t="s">
        <v>366</v>
      </c>
      <c r="B221" s="22">
        <v>45711</v>
      </c>
      <c r="C221" s="22" t="s">
        <v>325</v>
      </c>
      <c r="D221" s="22" t="s">
        <v>326</v>
      </c>
      <c r="E221" s="22" t="s">
        <v>44</v>
      </c>
      <c r="F221" s="22" t="s">
        <v>45</v>
      </c>
      <c r="G221" s="22" t="s">
        <v>46</v>
      </c>
      <c r="H221" s="22">
        <v>4</v>
      </c>
      <c r="I221" s="22" t="s">
        <v>40</v>
      </c>
      <c r="J221" s="22">
        <v>149.99</v>
      </c>
      <c r="K221" s="22" t="s">
        <v>34</v>
      </c>
      <c r="L221" s="22" t="s">
        <v>27</v>
      </c>
      <c r="M221" s="22">
        <v>599.96</v>
      </c>
      <c r="N221" s="32">
        <v>44412</v>
      </c>
      <c r="O221" s="41"/>
      <c r="S221" s="27">
        <f t="shared" ca="1" si="28"/>
        <v>45985</v>
      </c>
      <c r="T221" s="19">
        <f t="shared" ca="1" si="29"/>
        <v>45985.990154629631</v>
      </c>
      <c r="U221" s="15">
        <f t="shared" ca="1" si="35"/>
        <v>4</v>
      </c>
      <c r="V221" s="20">
        <f t="shared" ca="1" si="30"/>
        <v>44412</v>
      </c>
      <c r="W221" s="20">
        <f t="shared" si="31"/>
        <v>44530</v>
      </c>
      <c r="Y221" s="15" t="str">
        <f t="shared" si="32"/>
        <v>AE</v>
      </c>
      <c r="Z221" s="15" t="str">
        <f t="shared" si="33"/>
        <v>ARTHUR EDWARDS</v>
      </c>
      <c r="AA221" s="15" t="str">
        <f t="shared" si="34"/>
        <v>arthur edwards</v>
      </c>
      <c r="AB221" s="40"/>
    </row>
    <row r="222" spans="1:28" ht="16.5" customHeight="1" x14ac:dyDescent="0.35">
      <c r="A222" s="31" t="s">
        <v>367</v>
      </c>
      <c r="B222" s="22">
        <v>45711</v>
      </c>
      <c r="C222" s="22" t="s">
        <v>211</v>
      </c>
      <c r="D222" s="22" t="s">
        <v>212</v>
      </c>
      <c r="E222" s="22" t="s">
        <v>117</v>
      </c>
      <c r="F222" s="22" t="s">
        <v>118</v>
      </c>
      <c r="G222" s="22" t="s">
        <v>19</v>
      </c>
      <c r="H222" s="22">
        <v>5</v>
      </c>
      <c r="I222" s="22" t="s">
        <v>50</v>
      </c>
      <c r="J222" s="22">
        <v>89.99</v>
      </c>
      <c r="K222" s="22" t="s">
        <v>34</v>
      </c>
      <c r="L222" s="22" t="s">
        <v>27</v>
      </c>
      <c r="M222" s="22">
        <v>449.95</v>
      </c>
      <c r="N222" s="32">
        <v>45140</v>
      </c>
      <c r="O222" s="41"/>
      <c r="S222" s="26">
        <f t="shared" ca="1" si="28"/>
        <v>45985</v>
      </c>
      <c r="T222" s="19">
        <f t="shared" ca="1" si="29"/>
        <v>45985.990154629631</v>
      </c>
      <c r="U222" s="15">
        <f t="shared" ca="1" si="35"/>
        <v>2</v>
      </c>
      <c r="V222" s="20">
        <f t="shared" ca="1" si="30"/>
        <v>45140</v>
      </c>
      <c r="W222" s="20">
        <f t="shared" si="31"/>
        <v>45260</v>
      </c>
      <c r="Y222" s="15" t="str">
        <f t="shared" si="32"/>
        <v>EH</v>
      </c>
      <c r="Z222" s="15" t="str">
        <f t="shared" si="33"/>
        <v>ELIZABETH HALL</v>
      </c>
      <c r="AA222" s="15" t="str">
        <f t="shared" si="34"/>
        <v>elizabeth hall</v>
      </c>
      <c r="AB222" s="40"/>
    </row>
    <row r="223" spans="1:28" ht="16.5" customHeight="1" x14ac:dyDescent="0.35">
      <c r="A223" s="31" t="s">
        <v>368</v>
      </c>
      <c r="B223" s="22">
        <v>45712</v>
      </c>
      <c r="C223" s="22" t="s">
        <v>138</v>
      </c>
      <c r="D223" s="22" t="s">
        <v>139</v>
      </c>
      <c r="E223" s="22" t="s">
        <v>126</v>
      </c>
      <c r="F223" s="22" t="s">
        <v>127</v>
      </c>
      <c r="G223" s="22" t="s">
        <v>46</v>
      </c>
      <c r="H223" s="22">
        <v>2</v>
      </c>
      <c r="I223" s="22" t="s">
        <v>21</v>
      </c>
      <c r="J223" s="22">
        <v>199.99</v>
      </c>
      <c r="K223" s="22" t="s">
        <v>20</v>
      </c>
      <c r="L223" s="22" t="s">
        <v>27</v>
      </c>
      <c r="M223" s="22">
        <v>399.98</v>
      </c>
      <c r="N223" s="32">
        <v>44573</v>
      </c>
      <c r="O223" s="41"/>
      <c r="S223" s="27">
        <f t="shared" ca="1" si="28"/>
        <v>45985</v>
      </c>
      <c r="T223" s="19">
        <f t="shared" ca="1" si="29"/>
        <v>45985.990154629631</v>
      </c>
      <c r="U223" s="15">
        <f t="shared" ca="1" si="35"/>
        <v>3</v>
      </c>
      <c r="V223" s="20">
        <f t="shared" ca="1" si="30"/>
        <v>44573</v>
      </c>
      <c r="W223" s="20">
        <f t="shared" si="31"/>
        <v>44681</v>
      </c>
      <c r="Y223" s="15" t="str">
        <f t="shared" si="32"/>
        <v>ST</v>
      </c>
      <c r="Z223" s="15" t="str">
        <f t="shared" si="33"/>
        <v>STEVEN TURNER</v>
      </c>
      <c r="AA223" s="15" t="str">
        <f t="shared" si="34"/>
        <v>steven turner</v>
      </c>
      <c r="AB223" s="40"/>
    </row>
    <row r="224" spans="1:28" ht="16.5" customHeight="1" x14ac:dyDescent="0.35">
      <c r="A224" s="31" t="s">
        <v>369</v>
      </c>
      <c r="B224" s="22">
        <v>45715</v>
      </c>
      <c r="C224" s="22" t="s">
        <v>259</v>
      </c>
      <c r="D224" s="22" t="s">
        <v>260</v>
      </c>
      <c r="E224" s="22" t="s">
        <v>31</v>
      </c>
      <c r="F224" s="22" t="s">
        <v>32</v>
      </c>
      <c r="G224" s="22" t="s">
        <v>33</v>
      </c>
      <c r="H224" s="22">
        <v>4</v>
      </c>
      <c r="I224" s="22" t="s">
        <v>50</v>
      </c>
      <c r="J224" s="22">
        <v>59.99</v>
      </c>
      <c r="K224" s="22" t="s">
        <v>20</v>
      </c>
      <c r="L224" s="22" t="s">
        <v>36</v>
      </c>
      <c r="M224" s="22">
        <v>239.96</v>
      </c>
      <c r="N224" s="32">
        <v>45070</v>
      </c>
      <c r="O224" s="41"/>
      <c r="S224" s="26">
        <f t="shared" ca="1" si="28"/>
        <v>45985</v>
      </c>
      <c r="T224" s="19">
        <f t="shared" ca="1" si="29"/>
        <v>45985.990154513885</v>
      </c>
      <c r="U224" s="15">
        <f t="shared" ca="1" si="35"/>
        <v>2</v>
      </c>
      <c r="V224" s="20">
        <f t="shared" ca="1" si="30"/>
        <v>45070</v>
      </c>
      <c r="W224" s="20">
        <f t="shared" si="31"/>
        <v>45169</v>
      </c>
      <c r="Y224" s="15" t="str">
        <f t="shared" si="32"/>
        <v>RL</v>
      </c>
      <c r="Z224" s="15" t="str">
        <f t="shared" si="33"/>
        <v>RICHARD LEE</v>
      </c>
      <c r="AA224" s="15" t="str">
        <f t="shared" si="34"/>
        <v>richard lee</v>
      </c>
      <c r="AB224" s="40"/>
    </row>
    <row r="225" spans="1:28" ht="16.5" customHeight="1" x14ac:dyDescent="0.35">
      <c r="A225" s="31" t="s">
        <v>370</v>
      </c>
      <c r="B225" s="22">
        <v>45715</v>
      </c>
      <c r="C225" s="22" t="s">
        <v>93</v>
      </c>
      <c r="D225" s="22" t="s">
        <v>94</v>
      </c>
      <c r="E225" s="22" t="s">
        <v>105</v>
      </c>
      <c r="F225" s="22" t="s">
        <v>106</v>
      </c>
      <c r="G225" s="22" t="s">
        <v>46</v>
      </c>
      <c r="H225" s="22">
        <v>2</v>
      </c>
      <c r="I225" s="22" t="s">
        <v>35</v>
      </c>
      <c r="J225" s="22">
        <v>299.99</v>
      </c>
      <c r="K225" s="22" t="s">
        <v>34</v>
      </c>
      <c r="L225" s="22" t="s">
        <v>22</v>
      </c>
      <c r="M225" s="22">
        <v>599.98</v>
      </c>
      <c r="N225" s="32">
        <v>44576</v>
      </c>
      <c r="O225" s="41"/>
      <c r="S225" s="27">
        <f t="shared" ca="1" si="28"/>
        <v>45985</v>
      </c>
      <c r="T225" s="19">
        <f t="shared" ca="1" si="29"/>
        <v>45985.990154629631</v>
      </c>
      <c r="U225" s="15">
        <f t="shared" ca="1" si="35"/>
        <v>3</v>
      </c>
      <c r="V225" s="20">
        <f t="shared" ca="1" si="30"/>
        <v>44576</v>
      </c>
      <c r="W225" s="20">
        <f t="shared" si="31"/>
        <v>44681</v>
      </c>
      <c r="Y225" s="15" t="str">
        <f t="shared" si="32"/>
        <v>VS</v>
      </c>
      <c r="Z225" s="15" t="str">
        <f t="shared" si="33"/>
        <v>VIRGINIA SANDERS</v>
      </c>
      <c r="AA225" s="15" t="str">
        <f t="shared" si="34"/>
        <v>virginia sanders</v>
      </c>
      <c r="AB225" s="40"/>
    </row>
    <row r="226" spans="1:28" ht="16.5" customHeight="1" x14ac:dyDescent="0.35">
      <c r="A226" s="31" t="s">
        <v>371</v>
      </c>
      <c r="B226" s="22">
        <v>45718</v>
      </c>
      <c r="C226" s="22" t="s">
        <v>55</v>
      </c>
      <c r="D226" s="22" t="s">
        <v>56</v>
      </c>
      <c r="E226" s="22" t="s">
        <v>44</v>
      </c>
      <c r="F226" s="22" t="s">
        <v>45</v>
      </c>
      <c r="G226" s="22" t="s">
        <v>46</v>
      </c>
      <c r="H226" s="22">
        <v>2</v>
      </c>
      <c r="I226" s="22" t="s">
        <v>21</v>
      </c>
      <c r="J226" s="22">
        <v>149.99</v>
      </c>
      <c r="K226" s="22" t="s">
        <v>20</v>
      </c>
      <c r="L226" s="22" t="s">
        <v>22</v>
      </c>
      <c r="M226" s="22">
        <v>299.98</v>
      </c>
      <c r="N226" s="32">
        <v>45068</v>
      </c>
      <c r="O226" s="41"/>
      <c r="S226" s="26">
        <f t="shared" ca="1" si="28"/>
        <v>45985</v>
      </c>
      <c r="T226" s="19">
        <f t="shared" ca="1" si="29"/>
        <v>45985.990154629631</v>
      </c>
      <c r="U226" s="15">
        <f t="shared" ca="1" si="35"/>
        <v>2</v>
      </c>
      <c r="V226" s="20">
        <f t="shared" ca="1" si="30"/>
        <v>45068</v>
      </c>
      <c r="W226" s="20">
        <f t="shared" si="31"/>
        <v>45169</v>
      </c>
      <c r="Y226" s="15" t="str">
        <f t="shared" si="32"/>
        <v>CA</v>
      </c>
      <c r="Z226" s="15" t="str">
        <f t="shared" si="33"/>
        <v>CHARLES ALLEN</v>
      </c>
      <c r="AA226" s="15" t="str">
        <f t="shared" si="34"/>
        <v>charles allen</v>
      </c>
      <c r="AB226" s="40"/>
    </row>
    <row r="227" spans="1:28" ht="16.5" customHeight="1" x14ac:dyDescent="0.35">
      <c r="A227" s="31" t="s">
        <v>372</v>
      </c>
      <c r="B227" s="22">
        <v>45720</v>
      </c>
      <c r="C227" s="22" t="s">
        <v>226</v>
      </c>
      <c r="D227" s="22" t="s">
        <v>227</v>
      </c>
      <c r="E227" s="22" t="s">
        <v>80</v>
      </c>
      <c r="F227" s="22" t="s">
        <v>81</v>
      </c>
      <c r="G227" s="22" t="s">
        <v>19</v>
      </c>
      <c r="H227" s="22">
        <v>5</v>
      </c>
      <c r="I227" s="22" t="s">
        <v>63</v>
      </c>
      <c r="J227" s="22">
        <v>699.99</v>
      </c>
      <c r="K227" s="22" t="s">
        <v>57</v>
      </c>
      <c r="L227" s="22" t="s">
        <v>27</v>
      </c>
      <c r="M227" s="22">
        <v>3499.95</v>
      </c>
      <c r="N227" s="32">
        <v>45161</v>
      </c>
      <c r="O227" s="41"/>
      <c r="S227" s="27">
        <f t="shared" ca="1" si="28"/>
        <v>45985</v>
      </c>
      <c r="T227" s="19">
        <f t="shared" ca="1" si="29"/>
        <v>45985.990154629631</v>
      </c>
      <c r="U227" s="15">
        <f t="shared" ca="1" si="35"/>
        <v>2</v>
      </c>
      <c r="V227" s="20">
        <f t="shared" ca="1" si="30"/>
        <v>45161</v>
      </c>
      <c r="W227" s="20">
        <f t="shared" si="31"/>
        <v>45260</v>
      </c>
      <c r="Y227" s="15" t="str">
        <f t="shared" si="32"/>
        <v>LR</v>
      </c>
      <c r="Z227" s="15" t="str">
        <f t="shared" si="33"/>
        <v>LAWRENCE REED</v>
      </c>
      <c r="AA227" s="15" t="str">
        <f t="shared" si="34"/>
        <v>lawrence reed</v>
      </c>
      <c r="AB227" s="40"/>
    </row>
    <row r="228" spans="1:28" ht="16.5" customHeight="1" x14ac:dyDescent="0.35">
      <c r="A228" s="31" t="s">
        <v>373</v>
      </c>
      <c r="B228" s="22">
        <v>45721</v>
      </c>
      <c r="C228" s="22" t="s">
        <v>75</v>
      </c>
      <c r="D228" s="22" t="s">
        <v>76</v>
      </c>
      <c r="E228" s="22" t="s">
        <v>31</v>
      </c>
      <c r="F228" s="22" t="s">
        <v>32</v>
      </c>
      <c r="G228" s="22" t="s">
        <v>33</v>
      </c>
      <c r="H228" s="22">
        <v>5</v>
      </c>
      <c r="I228" s="22" t="s">
        <v>50</v>
      </c>
      <c r="J228" s="22">
        <v>59.99</v>
      </c>
      <c r="K228" s="22" t="s">
        <v>20</v>
      </c>
      <c r="L228" s="22" t="s">
        <v>27</v>
      </c>
      <c r="M228" s="22">
        <v>299.95</v>
      </c>
      <c r="N228" s="32">
        <v>45291</v>
      </c>
      <c r="O228" s="41"/>
      <c r="S228" s="26">
        <f t="shared" ca="1" si="28"/>
        <v>45985</v>
      </c>
      <c r="T228" s="19">
        <f t="shared" ca="1" si="29"/>
        <v>45985.990154513885</v>
      </c>
      <c r="U228" s="15">
        <f t="shared" ca="1" si="35"/>
        <v>1</v>
      </c>
      <c r="V228" s="20">
        <f t="shared" ca="1" si="30"/>
        <v>45291</v>
      </c>
      <c r="W228" s="20">
        <f t="shared" si="31"/>
        <v>45382</v>
      </c>
      <c r="Y228" s="15" t="str">
        <f t="shared" si="32"/>
        <v>DG</v>
      </c>
      <c r="Z228" s="15" t="str">
        <f t="shared" si="33"/>
        <v>DENNIS GRAY</v>
      </c>
      <c r="AA228" s="15" t="str">
        <f t="shared" si="34"/>
        <v>dennis gray</v>
      </c>
      <c r="AB228" s="40"/>
    </row>
    <row r="229" spans="1:28" ht="16.5" customHeight="1" x14ac:dyDescent="0.35">
      <c r="A229" s="31" t="s">
        <v>374</v>
      </c>
      <c r="B229" s="22">
        <v>45723</v>
      </c>
      <c r="C229" s="22" t="s">
        <v>15</v>
      </c>
      <c r="D229" s="22" t="s">
        <v>16</v>
      </c>
      <c r="E229" s="22" t="s">
        <v>117</v>
      </c>
      <c r="F229" s="22" t="s">
        <v>118</v>
      </c>
      <c r="G229" s="22" t="s">
        <v>19</v>
      </c>
      <c r="H229" s="22">
        <v>2</v>
      </c>
      <c r="I229" s="22" t="s">
        <v>50</v>
      </c>
      <c r="J229" s="22">
        <v>89.99</v>
      </c>
      <c r="K229" s="22" t="s">
        <v>26</v>
      </c>
      <c r="L229" s="22" t="s">
        <v>27</v>
      </c>
      <c r="M229" s="22">
        <v>179.98</v>
      </c>
      <c r="N229" s="32">
        <v>45295</v>
      </c>
      <c r="O229" s="41"/>
      <c r="S229" s="27">
        <f t="shared" ca="1" si="28"/>
        <v>45985</v>
      </c>
      <c r="T229" s="19">
        <f t="shared" ca="1" si="29"/>
        <v>45985.990154629631</v>
      </c>
      <c r="U229" s="15">
        <f t="shared" ca="1" si="35"/>
        <v>1</v>
      </c>
      <c r="V229" s="20">
        <f t="shared" ca="1" si="30"/>
        <v>45295</v>
      </c>
      <c r="W229" s="20">
        <f t="shared" si="31"/>
        <v>45412</v>
      </c>
      <c r="Y229" s="15" t="str">
        <f t="shared" si="32"/>
        <v>PB</v>
      </c>
      <c r="Z229" s="15" t="str">
        <f t="shared" si="33"/>
        <v>PAUL BAKER</v>
      </c>
      <c r="AA229" s="15" t="str">
        <f t="shared" si="34"/>
        <v>paul baker</v>
      </c>
      <c r="AB229" s="40"/>
    </row>
    <row r="230" spans="1:28" ht="16.5" customHeight="1" x14ac:dyDescent="0.35">
      <c r="A230" s="31" t="s">
        <v>375</v>
      </c>
      <c r="B230" s="22">
        <v>45723</v>
      </c>
      <c r="C230" s="22" t="s">
        <v>120</v>
      </c>
      <c r="D230" s="22" t="s">
        <v>121</v>
      </c>
      <c r="E230" s="22" t="s">
        <v>17</v>
      </c>
      <c r="F230" s="22" t="s">
        <v>18</v>
      </c>
      <c r="G230" s="22" t="s">
        <v>19</v>
      </c>
      <c r="H230" s="22">
        <v>5</v>
      </c>
      <c r="I230" s="22" t="s">
        <v>63</v>
      </c>
      <c r="J230" s="22">
        <v>249.99</v>
      </c>
      <c r="K230" s="22" t="s">
        <v>20</v>
      </c>
      <c r="L230" s="22" t="s">
        <v>36</v>
      </c>
      <c r="M230" s="22">
        <v>1249.95</v>
      </c>
      <c r="N230" s="32">
        <v>44540</v>
      </c>
      <c r="O230" s="41"/>
      <c r="S230" s="26">
        <f t="shared" ca="1" si="28"/>
        <v>45985</v>
      </c>
      <c r="T230" s="19">
        <f t="shared" ca="1" si="29"/>
        <v>45985.990154629631</v>
      </c>
      <c r="U230" s="15">
        <f t="shared" ca="1" si="35"/>
        <v>3</v>
      </c>
      <c r="V230" s="20">
        <f t="shared" ca="1" si="30"/>
        <v>44540</v>
      </c>
      <c r="W230" s="20">
        <f t="shared" si="31"/>
        <v>44651</v>
      </c>
      <c r="Y230" s="15" t="str">
        <f t="shared" si="32"/>
        <v>HR</v>
      </c>
      <c r="Z230" s="15" t="str">
        <f t="shared" si="33"/>
        <v>HELEN ROBERTS</v>
      </c>
      <c r="AA230" s="15" t="str">
        <f t="shared" si="34"/>
        <v>helen roberts</v>
      </c>
      <c r="AB230" s="40"/>
    </row>
    <row r="231" spans="1:28" ht="16.5" customHeight="1" x14ac:dyDescent="0.35">
      <c r="A231" s="31" t="s">
        <v>376</v>
      </c>
      <c r="B231" s="22">
        <v>45724</v>
      </c>
      <c r="C231" s="22" t="s">
        <v>226</v>
      </c>
      <c r="D231" s="22" t="s">
        <v>227</v>
      </c>
      <c r="E231" s="22" t="s">
        <v>44</v>
      </c>
      <c r="F231" s="22" t="s">
        <v>45</v>
      </c>
      <c r="G231" s="22" t="s">
        <v>46</v>
      </c>
      <c r="H231" s="22">
        <v>2</v>
      </c>
      <c r="I231" s="22" t="s">
        <v>21</v>
      </c>
      <c r="J231" s="22">
        <v>149.99</v>
      </c>
      <c r="K231" s="22" t="s">
        <v>34</v>
      </c>
      <c r="L231" s="22" t="s">
        <v>27</v>
      </c>
      <c r="M231" s="22">
        <v>299.98</v>
      </c>
      <c r="N231" s="32">
        <v>44632</v>
      </c>
      <c r="O231" s="41"/>
      <c r="S231" s="27">
        <f t="shared" ca="1" si="28"/>
        <v>45985</v>
      </c>
      <c r="T231" s="19">
        <f t="shared" ca="1" si="29"/>
        <v>45985.990154629631</v>
      </c>
      <c r="U231" s="15">
        <f t="shared" ca="1" si="35"/>
        <v>3</v>
      </c>
      <c r="V231" s="20">
        <f t="shared" ca="1" si="30"/>
        <v>44632</v>
      </c>
      <c r="W231" s="20">
        <f t="shared" si="31"/>
        <v>44742</v>
      </c>
      <c r="Y231" s="15" t="str">
        <f t="shared" si="32"/>
        <v>LR</v>
      </c>
      <c r="Z231" s="15" t="str">
        <f t="shared" si="33"/>
        <v>LAWRENCE REED</v>
      </c>
      <c r="AA231" s="15" t="str">
        <f t="shared" si="34"/>
        <v>lawrence reed</v>
      </c>
      <c r="AB231" s="40"/>
    </row>
    <row r="232" spans="1:28" ht="16.5" customHeight="1" x14ac:dyDescent="0.35">
      <c r="A232" s="31" t="s">
        <v>377</v>
      </c>
      <c r="B232" s="22">
        <v>45724</v>
      </c>
      <c r="C232" s="22" t="s">
        <v>144</v>
      </c>
      <c r="D232" s="22" t="s">
        <v>145</v>
      </c>
      <c r="E232" s="22" t="s">
        <v>61</v>
      </c>
      <c r="F232" s="22" t="s">
        <v>62</v>
      </c>
      <c r="G232" s="22" t="s">
        <v>19</v>
      </c>
      <c r="H232" s="22">
        <v>5</v>
      </c>
      <c r="I232" s="22" t="s">
        <v>63</v>
      </c>
      <c r="J232" s="22">
        <v>899.99</v>
      </c>
      <c r="K232" s="22" t="s">
        <v>34</v>
      </c>
      <c r="L232" s="22" t="s">
        <v>27</v>
      </c>
      <c r="M232" s="22">
        <v>4499.95</v>
      </c>
      <c r="N232" s="32">
        <v>45389</v>
      </c>
      <c r="O232" s="41"/>
      <c r="S232" s="26">
        <f t="shared" ca="1" si="28"/>
        <v>45985</v>
      </c>
      <c r="T232" s="19">
        <f t="shared" ca="1" si="29"/>
        <v>45985.990154629631</v>
      </c>
      <c r="U232" s="15">
        <f t="shared" ca="1" si="35"/>
        <v>1</v>
      </c>
      <c r="V232" s="20">
        <f t="shared" ca="1" si="30"/>
        <v>45389</v>
      </c>
      <c r="W232" s="20">
        <f t="shared" si="31"/>
        <v>45504</v>
      </c>
      <c r="Y232" s="15" t="str">
        <f t="shared" si="32"/>
        <v>HM</v>
      </c>
      <c r="Z232" s="15" t="str">
        <f t="shared" si="33"/>
        <v>HARRY MORGAN</v>
      </c>
      <c r="AA232" s="15" t="str">
        <f t="shared" si="34"/>
        <v>harry morgan</v>
      </c>
      <c r="AB232" s="40"/>
    </row>
    <row r="233" spans="1:28" ht="16.5" customHeight="1" x14ac:dyDescent="0.35">
      <c r="A233" s="31" t="s">
        <v>378</v>
      </c>
      <c r="B233" s="22">
        <v>45724</v>
      </c>
      <c r="C233" s="22" t="s">
        <v>55</v>
      </c>
      <c r="D233" s="22" t="s">
        <v>56</v>
      </c>
      <c r="E233" s="22" t="s">
        <v>44</v>
      </c>
      <c r="F233" s="22" t="s">
        <v>45</v>
      </c>
      <c r="G233" s="22" t="s">
        <v>46</v>
      </c>
      <c r="H233" s="22">
        <v>4</v>
      </c>
      <c r="I233" s="22" t="s">
        <v>21</v>
      </c>
      <c r="J233" s="22">
        <v>149.99</v>
      </c>
      <c r="K233" s="22" t="s">
        <v>20</v>
      </c>
      <c r="L233" s="22" t="s">
        <v>36</v>
      </c>
      <c r="M233" s="22">
        <v>599.96</v>
      </c>
      <c r="N233" s="32">
        <v>45263</v>
      </c>
      <c r="O233" s="41"/>
      <c r="S233" s="27">
        <f t="shared" ca="1" si="28"/>
        <v>45985</v>
      </c>
      <c r="T233" s="19">
        <f t="shared" ca="1" si="29"/>
        <v>45985.990154629631</v>
      </c>
      <c r="U233" s="15">
        <f t="shared" ca="1" si="35"/>
        <v>1</v>
      </c>
      <c r="V233" s="20">
        <f t="shared" ca="1" si="30"/>
        <v>45263</v>
      </c>
      <c r="W233" s="20">
        <f t="shared" si="31"/>
        <v>45382</v>
      </c>
      <c r="Y233" s="15" t="str">
        <f t="shared" si="32"/>
        <v>CA</v>
      </c>
      <c r="Z233" s="15" t="str">
        <f t="shared" si="33"/>
        <v>CHARLES ALLEN</v>
      </c>
      <c r="AA233" s="15" t="str">
        <f t="shared" si="34"/>
        <v>charles allen</v>
      </c>
      <c r="AB233" s="40"/>
    </row>
    <row r="234" spans="1:28" ht="16.5" customHeight="1" x14ac:dyDescent="0.35">
      <c r="A234" s="31" t="s">
        <v>379</v>
      </c>
      <c r="B234" s="22">
        <v>45726</v>
      </c>
      <c r="C234" s="22" t="s">
        <v>144</v>
      </c>
      <c r="D234" s="22" t="s">
        <v>145</v>
      </c>
      <c r="E234" s="22" t="s">
        <v>17</v>
      </c>
      <c r="F234" s="22" t="s">
        <v>18</v>
      </c>
      <c r="G234" s="22" t="s">
        <v>19</v>
      </c>
      <c r="H234" s="22">
        <v>1</v>
      </c>
      <c r="I234" s="22" t="s">
        <v>40</v>
      </c>
      <c r="J234" s="22">
        <v>249.99</v>
      </c>
      <c r="K234" s="22" t="s">
        <v>20</v>
      </c>
      <c r="L234" s="22" t="s">
        <v>36</v>
      </c>
      <c r="M234" s="22">
        <v>249.99</v>
      </c>
      <c r="N234" s="32">
        <v>45117</v>
      </c>
      <c r="O234" s="41"/>
      <c r="S234" s="26">
        <f t="shared" ca="1" si="28"/>
        <v>45985</v>
      </c>
      <c r="T234" s="19">
        <f t="shared" ca="1" si="29"/>
        <v>45985.990154629631</v>
      </c>
      <c r="U234" s="15">
        <f t="shared" ca="1" si="35"/>
        <v>2</v>
      </c>
      <c r="V234" s="20">
        <f t="shared" ca="1" si="30"/>
        <v>45117</v>
      </c>
      <c r="W234" s="20">
        <f t="shared" si="31"/>
        <v>45230</v>
      </c>
      <c r="Y234" s="15" t="str">
        <f t="shared" si="32"/>
        <v>HM</v>
      </c>
      <c r="Z234" s="15" t="str">
        <f t="shared" si="33"/>
        <v>HARRY MORGAN</v>
      </c>
      <c r="AA234" s="15" t="str">
        <f t="shared" si="34"/>
        <v>harry morgan</v>
      </c>
      <c r="AB234" s="40"/>
    </row>
    <row r="235" spans="1:28" ht="16.5" customHeight="1" x14ac:dyDescent="0.35">
      <c r="A235" s="31" t="s">
        <v>380</v>
      </c>
      <c r="B235" s="22">
        <v>45734</v>
      </c>
      <c r="C235" s="22" t="s">
        <v>192</v>
      </c>
      <c r="D235" s="22" t="s">
        <v>193</v>
      </c>
      <c r="E235" s="22" t="s">
        <v>31</v>
      </c>
      <c r="F235" s="22" t="s">
        <v>32</v>
      </c>
      <c r="G235" s="22" t="s">
        <v>33</v>
      </c>
      <c r="H235" s="22">
        <v>2</v>
      </c>
      <c r="I235" s="22" t="s">
        <v>50</v>
      </c>
      <c r="J235" s="22">
        <v>59.99</v>
      </c>
      <c r="K235" s="22" t="s">
        <v>26</v>
      </c>
      <c r="L235" s="22" t="s">
        <v>22</v>
      </c>
      <c r="M235" s="22">
        <v>119.98</v>
      </c>
      <c r="N235" s="32">
        <v>45193</v>
      </c>
      <c r="O235" s="41"/>
      <c r="S235" s="27">
        <f t="shared" ca="1" si="28"/>
        <v>45985</v>
      </c>
      <c r="T235" s="19">
        <f t="shared" ca="1" si="29"/>
        <v>45985.990154629631</v>
      </c>
      <c r="U235" s="15">
        <f t="shared" ca="1" si="35"/>
        <v>2</v>
      </c>
      <c r="V235" s="20">
        <f t="shared" ca="1" si="30"/>
        <v>45193</v>
      </c>
      <c r="W235" s="20">
        <f t="shared" si="31"/>
        <v>45291</v>
      </c>
      <c r="Y235" s="15" t="str">
        <f t="shared" si="32"/>
        <v>FT</v>
      </c>
      <c r="Z235" s="15" t="str">
        <f t="shared" si="33"/>
        <v>FRANK TORRES</v>
      </c>
      <c r="AA235" s="15" t="str">
        <f t="shared" si="34"/>
        <v>frank torres</v>
      </c>
      <c r="AB235" s="40"/>
    </row>
    <row r="236" spans="1:28" ht="16.5" customHeight="1" x14ac:dyDescent="0.35">
      <c r="A236" s="31" t="s">
        <v>381</v>
      </c>
      <c r="B236" s="22">
        <v>45737</v>
      </c>
      <c r="C236" s="22" t="s">
        <v>132</v>
      </c>
      <c r="D236" s="22" t="s">
        <v>133</v>
      </c>
      <c r="E236" s="22" t="s">
        <v>44</v>
      </c>
      <c r="F236" s="22" t="s">
        <v>45</v>
      </c>
      <c r="G236" s="22" t="s">
        <v>46</v>
      </c>
      <c r="H236" s="22">
        <v>2</v>
      </c>
      <c r="I236" s="22" t="s">
        <v>50</v>
      </c>
      <c r="J236" s="22">
        <v>149.99</v>
      </c>
      <c r="K236" s="22" t="s">
        <v>20</v>
      </c>
      <c r="L236" s="22" t="s">
        <v>27</v>
      </c>
      <c r="M236" s="22">
        <v>299.98</v>
      </c>
      <c r="N236" s="32">
        <v>45233</v>
      </c>
      <c r="O236" s="41"/>
      <c r="S236" s="26">
        <f t="shared" ca="1" si="28"/>
        <v>45985</v>
      </c>
      <c r="T236" s="19">
        <f t="shared" ca="1" si="29"/>
        <v>45985.990154629631</v>
      </c>
      <c r="U236" s="15">
        <f t="shared" ca="1" si="35"/>
        <v>2</v>
      </c>
      <c r="V236" s="20">
        <f t="shared" ca="1" si="30"/>
        <v>45233</v>
      </c>
      <c r="W236" s="20">
        <f t="shared" si="31"/>
        <v>45351</v>
      </c>
      <c r="Y236" s="15" t="str">
        <f t="shared" si="32"/>
        <v>EW</v>
      </c>
      <c r="Z236" s="15" t="str">
        <f t="shared" si="33"/>
        <v>EMMA WILSON</v>
      </c>
      <c r="AA236" s="15" t="str">
        <f t="shared" si="34"/>
        <v>emma wilson</v>
      </c>
      <c r="AB236" s="40"/>
    </row>
    <row r="237" spans="1:28" ht="16.5" customHeight="1" x14ac:dyDescent="0.35">
      <c r="A237" s="31" t="s">
        <v>382</v>
      </c>
      <c r="B237" s="22">
        <v>45737</v>
      </c>
      <c r="C237" s="22" t="s">
        <v>150</v>
      </c>
      <c r="D237" s="22" t="s">
        <v>151</v>
      </c>
      <c r="E237" s="22" t="s">
        <v>61</v>
      </c>
      <c r="F237" s="22" t="s">
        <v>62</v>
      </c>
      <c r="G237" s="22" t="s">
        <v>19</v>
      </c>
      <c r="H237" s="22">
        <v>3</v>
      </c>
      <c r="I237" s="22" t="s">
        <v>40</v>
      </c>
      <c r="J237" s="22">
        <v>899.99</v>
      </c>
      <c r="K237" s="22" t="s">
        <v>57</v>
      </c>
      <c r="L237" s="22" t="s">
        <v>27</v>
      </c>
      <c r="M237" s="22">
        <v>2699.97</v>
      </c>
      <c r="N237" s="32">
        <v>44876</v>
      </c>
      <c r="O237" s="41"/>
      <c r="S237" s="27">
        <f t="shared" ca="1" si="28"/>
        <v>45985</v>
      </c>
      <c r="T237" s="19">
        <f t="shared" ca="1" si="29"/>
        <v>45985.990154629631</v>
      </c>
      <c r="U237" s="15">
        <f t="shared" ca="1" si="35"/>
        <v>3</v>
      </c>
      <c r="V237" s="20">
        <f t="shared" ca="1" si="30"/>
        <v>44876</v>
      </c>
      <c r="W237" s="20">
        <f t="shared" si="31"/>
        <v>44985</v>
      </c>
      <c r="Y237" s="15" t="str">
        <f t="shared" si="32"/>
        <v>SB</v>
      </c>
      <c r="Z237" s="15" t="str">
        <f t="shared" si="33"/>
        <v>SHARON BUTLER</v>
      </c>
      <c r="AA237" s="15" t="str">
        <f t="shared" si="34"/>
        <v>sharon butler</v>
      </c>
      <c r="AB237" s="40"/>
    </row>
    <row r="238" spans="1:28" ht="16.5" customHeight="1" x14ac:dyDescent="0.35">
      <c r="A238" s="31" t="s">
        <v>383</v>
      </c>
      <c r="B238" s="22">
        <v>45737</v>
      </c>
      <c r="C238" s="22" t="s">
        <v>48</v>
      </c>
      <c r="D238" s="22" t="s">
        <v>49</v>
      </c>
      <c r="E238" s="22" t="s">
        <v>61</v>
      </c>
      <c r="F238" s="22" t="s">
        <v>62</v>
      </c>
      <c r="G238" s="22" t="s">
        <v>19</v>
      </c>
      <c r="H238" s="22">
        <v>3</v>
      </c>
      <c r="I238" s="22" t="s">
        <v>40</v>
      </c>
      <c r="J238" s="22">
        <v>899.99</v>
      </c>
      <c r="K238" s="22" t="s">
        <v>34</v>
      </c>
      <c r="L238" s="22" t="s">
        <v>22</v>
      </c>
      <c r="M238" s="22">
        <v>2699.97</v>
      </c>
      <c r="N238" s="32">
        <v>44975</v>
      </c>
      <c r="O238" s="41"/>
      <c r="S238" s="26">
        <f t="shared" ca="1" si="28"/>
        <v>45985</v>
      </c>
      <c r="T238" s="19">
        <f t="shared" ca="1" si="29"/>
        <v>45985.990154629631</v>
      </c>
      <c r="U238" s="15">
        <f t="shared" ca="1" si="35"/>
        <v>2</v>
      </c>
      <c r="V238" s="20">
        <f t="shared" ca="1" si="30"/>
        <v>44975</v>
      </c>
      <c r="W238" s="20">
        <f t="shared" si="31"/>
        <v>45077</v>
      </c>
      <c r="Y238" s="15" t="str">
        <f t="shared" si="32"/>
        <v>DN</v>
      </c>
      <c r="Z238" s="15" t="str">
        <f t="shared" si="33"/>
        <v>DOROTHY NELSON</v>
      </c>
      <c r="AA238" s="15" t="str">
        <f t="shared" si="34"/>
        <v>dorothy nelson</v>
      </c>
      <c r="AB238" s="40"/>
    </row>
    <row r="239" spans="1:28" ht="16.5" customHeight="1" x14ac:dyDescent="0.35">
      <c r="A239" s="31" t="s">
        <v>384</v>
      </c>
      <c r="B239" s="22">
        <v>45739</v>
      </c>
      <c r="C239" s="22" t="s">
        <v>15</v>
      </c>
      <c r="D239" s="22" t="s">
        <v>16</v>
      </c>
      <c r="E239" s="22" t="s">
        <v>105</v>
      </c>
      <c r="F239" s="22" t="s">
        <v>106</v>
      </c>
      <c r="G239" s="22" t="s">
        <v>46</v>
      </c>
      <c r="H239" s="22">
        <v>3</v>
      </c>
      <c r="I239" s="22" t="s">
        <v>50</v>
      </c>
      <c r="J239" s="22">
        <v>299.99</v>
      </c>
      <c r="K239" s="22" t="s">
        <v>26</v>
      </c>
      <c r="L239" s="22" t="s">
        <v>27</v>
      </c>
      <c r="M239" s="22">
        <v>899.97</v>
      </c>
      <c r="N239" s="32">
        <v>45234</v>
      </c>
      <c r="O239" s="41"/>
      <c r="S239" s="27">
        <f t="shared" ca="1" si="28"/>
        <v>45985</v>
      </c>
      <c r="T239" s="19">
        <f t="shared" ca="1" si="29"/>
        <v>45985.990154629631</v>
      </c>
      <c r="U239" s="15">
        <f t="shared" ca="1" si="35"/>
        <v>2</v>
      </c>
      <c r="V239" s="20">
        <f t="shared" ca="1" si="30"/>
        <v>45234</v>
      </c>
      <c r="W239" s="20">
        <f t="shared" si="31"/>
        <v>45351</v>
      </c>
      <c r="Y239" s="15" t="str">
        <f t="shared" si="32"/>
        <v>PB</v>
      </c>
      <c r="Z239" s="15" t="str">
        <f t="shared" si="33"/>
        <v>PAUL BAKER</v>
      </c>
      <c r="AA239" s="15" t="str">
        <f t="shared" si="34"/>
        <v>paul baker</v>
      </c>
      <c r="AB239" s="40"/>
    </row>
    <row r="240" spans="1:28" ht="16.5" customHeight="1" x14ac:dyDescent="0.35">
      <c r="A240" s="31" t="s">
        <v>385</v>
      </c>
      <c r="B240" s="22">
        <v>45740</v>
      </c>
      <c r="C240" s="22" t="s">
        <v>386</v>
      </c>
      <c r="D240" s="22" t="s">
        <v>387</v>
      </c>
      <c r="E240" s="22" t="s">
        <v>44</v>
      </c>
      <c r="F240" s="22" t="s">
        <v>45</v>
      </c>
      <c r="G240" s="22" t="s">
        <v>46</v>
      </c>
      <c r="H240" s="22">
        <v>4</v>
      </c>
      <c r="I240" s="22" t="s">
        <v>50</v>
      </c>
      <c r="J240" s="22">
        <v>149.99</v>
      </c>
      <c r="K240" s="22" t="s">
        <v>34</v>
      </c>
      <c r="L240" s="22" t="s">
        <v>36</v>
      </c>
      <c r="M240" s="22">
        <v>599.96</v>
      </c>
      <c r="N240" s="32">
        <v>44560</v>
      </c>
      <c r="O240" s="41"/>
      <c r="S240" s="26">
        <f t="shared" ca="1" si="28"/>
        <v>45985</v>
      </c>
      <c r="T240" s="19">
        <f t="shared" ca="1" si="29"/>
        <v>45985.990154629631</v>
      </c>
      <c r="U240" s="15">
        <f t="shared" ca="1" si="35"/>
        <v>3</v>
      </c>
      <c r="V240" s="20">
        <f t="shared" ca="1" si="30"/>
        <v>44560</v>
      </c>
      <c r="W240" s="20">
        <f t="shared" si="31"/>
        <v>44651</v>
      </c>
      <c r="Y240" s="15" t="str">
        <f t="shared" si="32"/>
        <v>JS</v>
      </c>
      <c r="Z240" s="15" t="str">
        <f t="shared" si="33"/>
        <v>JOHN SMITH</v>
      </c>
      <c r="AA240" s="15" t="str">
        <f t="shared" si="34"/>
        <v>john smith</v>
      </c>
      <c r="AB240" s="40"/>
    </row>
    <row r="241" spans="1:28" ht="16.5" customHeight="1" x14ac:dyDescent="0.35">
      <c r="A241" s="31" t="s">
        <v>388</v>
      </c>
      <c r="B241" s="22">
        <v>45743</v>
      </c>
      <c r="C241" s="22" t="s">
        <v>102</v>
      </c>
      <c r="D241" s="22" t="s">
        <v>103</v>
      </c>
      <c r="E241" s="22" t="s">
        <v>114</v>
      </c>
      <c r="F241" s="22" t="s">
        <v>115</v>
      </c>
      <c r="G241" s="22" t="s">
        <v>33</v>
      </c>
      <c r="H241" s="22">
        <v>4</v>
      </c>
      <c r="I241" s="22" t="s">
        <v>21</v>
      </c>
      <c r="J241" s="22">
        <v>79.989999999999995</v>
      </c>
      <c r="K241" s="22" t="s">
        <v>26</v>
      </c>
      <c r="L241" s="22" t="s">
        <v>22</v>
      </c>
      <c r="M241" s="22">
        <v>319.95999999999998</v>
      </c>
      <c r="N241" s="32">
        <v>45288</v>
      </c>
      <c r="O241" s="41"/>
      <c r="S241" s="27">
        <f t="shared" ca="1" si="28"/>
        <v>45985</v>
      </c>
      <c r="T241" s="19">
        <f t="shared" ca="1" si="29"/>
        <v>45985.990154629631</v>
      </c>
      <c r="U241" s="15">
        <f t="shared" ca="1" si="35"/>
        <v>1</v>
      </c>
      <c r="V241" s="20">
        <f t="shared" ca="1" si="30"/>
        <v>45288</v>
      </c>
      <c r="W241" s="20">
        <f t="shared" si="31"/>
        <v>45382</v>
      </c>
      <c r="Y241" s="15" t="str">
        <f t="shared" si="32"/>
        <v>CP</v>
      </c>
      <c r="Z241" s="15" t="str">
        <f t="shared" si="33"/>
        <v>CYNTHIA PRICE</v>
      </c>
      <c r="AA241" s="15" t="str">
        <f t="shared" si="34"/>
        <v>cynthia price</v>
      </c>
      <c r="AB241" s="40"/>
    </row>
    <row r="242" spans="1:28" ht="16.5" customHeight="1" x14ac:dyDescent="0.35">
      <c r="A242" s="31" t="s">
        <v>389</v>
      </c>
      <c r="B242" s="22">
        <v>45745</v>
      </c>
      <c r="C242" s="22" t="s">
        <v>185</v>
      </c>
      <c r="D242" s="22" t="s">
        <v>186</v>
      </c>
      <c r="E242" s="22" t="s">
        <v>117</v>
      </c>
      <c r="F242" s="22" t="s">
        <v>118</v>
      </c>
      <c r="G242" s="22" t="s">
        <v>19</v>
      </c>
      <c r="H242" s="22">
        <v>5</v>
      </c>
      <c r="I242" s="22" t="s">
        <v>35</v>
      </c>
      <c r="J242" s="22">
        <v>89.99</v>
      </c>
      <c r="K242" s="22" t="s">
        <v>34</v>
      </c>
      <c r="L242" s="22" t="s">
        <v>22</v>
      </c>
      <c r="M242" s="22">
        <v>449.95</v>
      </c>
      <c r="N242" s="32">
        <v>44704</v>
      </c>
      <c r="O242" s="41"/>
      <c r="S242" s="26">
        <f t="shared" ca="1" si="28"/>
        <v>45985</v>
      </c>
      <c r="T242" s="19">
        <f t="shared" ca="1" si="29"/>
        <v>45985.990154629631</v>
      </c>
      <c r="U242" s="15">
        <f t="shared" ca="1" si="35"/>
        <v>3</v>
      </c>
      <c r="V242" s="20">
        <f t="shared" ca="1" si="30"/>
        <v>44704</v>
      </c>
      <c r="W242" s="20">
        <f t="shared" si="31"/>
        <v>44804</v>
      </c>
      <c r="Y242" s="15" t="str">
        <f t="shared" si="32"/>
        <v>MW</v>
      </c>
      <c r="Z242" s="15" t="str">
        <f t="shared" si="33"/>
        <v>MARGARET WRIGHT</v>
      </c>
      <c r="AA242" s="15" t="str">
        <f t="shared" si="34"/>
        <v>margaret wright</v>
      </c>
      <c r="AB242" s="40"/>
    </row>
    <row r="243" spans="1:28" ht="16.5" customHeight="1" x14ac:dyDescent="0.35">
      <c r="A243" s="31" t="s">
        <v>390</v>
      </c>
      <c r="B243" s="22">
        <v>45746</v>
      </c>
      <c r="C243" s="22" t="s">
        <v>93</v>
      </c>
      <c r="D243" s="22" t="s">
        <v>94</v>
      </c>
      <c r="E243" s="22" t="s">
        <v>44</v>
      </c>
      <c r="F243" s="22" t="s">
        <v>45</v>
      </c>
      <c r="G243" s="22" t="s">
        <v>46</v>
      </c>
      <c r="H243" s="22">
        <v>3</v>
      </c>
      <c r="I243" s="22" t="s">
        <v>21</v>
      </c>
      <c r="J243" s="22">
        <v>149.99</v>
      </c>
      <c r="K243" s="22" t="s">
        <v>34</v>
      </c>
      <c r="L243" s="22" t="s">
        <v>36</v>
      </c>
      <c r="M243" s="22">
        <v>449.97</v>
      </c>
      <c r="N243" s="32">
        <v>45171</v>
      </c>
      <c r="O243" s="41"/>
      <c r="S243" s="27">
        <f t="shared" ca="1" si="28"/>
        <v>45985</v>
      </c>
      <c r="T243" s="19">
        <f t="shared" ca="1" si="29"/>
        <v>45985.990154629631</v>
      </c>
      <c r="U243" s="15">
        <f t="shared" ca="1" si="35"/>
        <v>2</v>
      </c>
      <c r="V243" s="20">
        <f t="shared" ca="1" si="30"/>
        <v>45171</v>
      </c>
      <c r="W243" s="20">
        <f t="shared" si="31"/>
        <v>45291</v>
      </c>
      <c r="Y243" s="15" t="str">
        <f t="shared" si="32"/>
        <v>VS</v>
      </c>
      <c r="Z243" s="15" t="str">
        <f t="shared" si="33"/>
        <v>VIRGINIA SANDERS</v>
      </c>
      <c r="AA243" s="15" t="str">
        <f t="shared" si="34"/>
        <v>virginia sanders</v>
      </c>
      <c r="AB243" s="40"/>
    </row>
    <row r="244" spans="1:28" ht="16.5" customHeight="1" x14ac:dyDescent="0.35">
      <c r="A244" s="31" t="s">
        <v>391</v>
      </c>
      <c r="B244" s="22">
        <v>45746</v>
      </c>
      <c r="C244" s="22" t="s">
        <v>65</v>
      </c>
      <c r="D244" s="22" t="s">
        <v>66</v>
      </c>
      <c r="E244" s="22" t="s">
        <v>117</v>
      </c>
      <c r="F244" s="22" t="s">
        <v>118</v>
      </c>
      <c r="G244" s="22" t="s">
        <v>19</v>
      </c>
      <c r="H244" s="22">
        <v>2</v>
      </c>
      <c r="I244" s="22" t="s">
        <v>50</v>
      </c>
      <c r="J244" s="22">
        <v>89.99</v>
      </c>
      <c r="K244" s="22" t="s">
        <v>57</v>
      </c>
      <c r="L244" s="22" t="s">
        <v>27</v>
      </c>
      <c r="M244" s="22">
        <v>179.98</v>
      </c>
      <c r="N244" s="32">
        <v>44522</v>
      </c>
      <c r="O244" s="41"/>
      <c r="S244" s="26">
        <f t="shared" ca="1" si="28"/>
        <v>45985</v>
      </c>
      <c r="T244" s="19">
        <f t="shared" ca="1" si="29"/>
        <v>45985.990154629631</v>
      </c>
      <c r="U244" s="15">
        <f t="shared" ca="1" si="35"/>
        <v>4</v>
      </c>
      <c r="V244" s="20">
        <f t="shared" ca="1" si="30"/>
        <v>44522</v>
      </c>
      <c r="W244" s="20">
        <f t="shared" si="31"/>
        <v>44620</v>
      </c>
      <c r="Y244" s="15" t="str">
        <f t="shared" si="32"/>
        <v>KH</v>
      </c>
      <c r="Z244" s="15" t="str">
        <f t="shared" si="33"/>
        <v>KAREN HILL</v>
      </c>
      <c r="AA244" s="15" t="str">
        <f t="shared" si="34"/>
        <v>karen hill</v>
      </c>
      <c r="AB244" s="40"/>
    </row>
    <row r="245" spans="1:28" ht="16.5" customHeight="1" x14ac:dyDescent="0.35">
      <c r="A245" s="31" t="s">
        <v>392</v>
      </c>
      <c r="B245" s="22">
        <v>45748</v>
      </c>
      <c r="C245" s="22" t="s">
        <v>102</v>
      </c>
      <c r="D245" s="22" t="s">
        <v>103</v>
      </c>
      <c r="E245" s="22" t="s">
        <v>80</v>
      </c>
      <c r="F245" s="22" t="s">
        <v>81</v>
      </c>
      <c r="G245" s="22" t="s">
        <v>19</v>
      </c>
      <c r="H245" s="22">
        <v>2</v>
      </c>
      <c r="I245" s="22" t="s">
        <v>40</v>
      </c>
      <c r="J245" s="22">
        <v>699.99</v>
      </c>
      <c r="K245" s="22" t="s">
        <v>34</v>
      </c>
      <c r="L245" s="22" t="s">
        <v>36</v>
      </c>
      <c r="M245" s="22">
        <v>1399.98</v>
      </c>
      <c r="N245" s="32">
        <v>44618</v>
      </c>
      <c r="O245" s="41"/>
      <c r="S245" s="27">
        <f t="shared" ca="1" si="28"/>
        <v>45985</v>
      </c>
      <c r="T245" s="19">
        <f t="shared" ca="1" si="29"/>
        <v>45985.990154629631</v>
      </c>
      <c r="U245" s="15">
        <f t="shared" ca="1" si="35"/>
        <v>3</v>
      </c>
      <c r="V245" s="20">
        <f t="shared" ca="1" si="30"/>
        <v>44618</v>
      </c>
      <c r="W245" s="20">
        <f t="shared" si="31"/>
        <v>44712</v>
      </c>
      <c r="Y245" s="15" t="str">
        <f t="shared" si="32"/>
        <v>CP</v>
      </c>
      <c r="Z245" s="15" t="str">
        <f t="shared" si="33"/>
        <v>CYNTHIA PRICE</v>
      </c>
      <c r="AA245" s="15" t="str">
        <f t="shared" si="34"/>
        <v>cynthia price</v>
      </c>
      <c r="AB245" s="40"/>
    </row>
    <row r="246" spans="1:28" ht="16.5" customHeight="1" x14ac:dyDescent="0.35">
      <c r="A246" s="31" t="s">
        <v>393</v>
      </c>
      <c r="B246" s="22">
        <v>45749</v>
      </c>
      <c r="C246" s="22" t="s">
        <v>123</v>
      </c>
      <c r="D246" s="22" t="s">
        <v>124</v>
      </c>
      <c r="E246" s="22" t="s">
        <v>61</v>
      </c>
      <c r="F246" s="22" t="s">
        <v>62</v>
      </c>
      <c r="G246" s="22" t="s">
        <v>19</v>
      </c>
      <c r="H246" s="22">
        <v>3</v>
      </c>
      <c r="I246" s="22" t="s">
        <v>21</v>
      </c>
      <c r="J246" s="22">
        <v>899.99</v>
      </c>
      <c r="K246" s="22" t="s">
        <v>20</v>
      </c>
      <c r="L246" s="22" t="s">
        <v>36</v>
      </c>
      <c r="M246" s="22">
        <v>2699.97</v>
      </c>
      <c r="N246" s="32">
        <v>44953</v>
      </c>
      <c r="O246" s="41"/>
      <c r="S246" s="26">
        <f t="shared" ca="1" si="28"/>
        <v>45985</v>
      </c>
      <c r="T246" s="19">
        <f t="shared" ca="1" si="29"/>
        <v>45985.990154629631</v>
      </c>
      <c r="U246" s="15">
        <f t="shared" ca="1" si="35"/>
        <v>2</v>
      </c>
      <c r="V246" s="20">
        <f t="shared" ca="1" si="30"/>
        <v>44953</v>
      </c>
      <c r="W246" s="20">
        <f t="shared" si="31"/>
        <v>45046</v>
      </c>
      <c r="Y246" s="15" t="str">
        <f t="shared" si="32"/>
        <v>EM</v>
      </c>
      <c r="Z246" s="15" t="str">
        <f t="shared" si="33"/>
        <v>EDWARD MITCHELL</v>
      </c>
      <c r="AA246" s="15" t="str">
        <f t="shared" si="34"/>
        <v>edward mitchell</v>
      </c>
      <c r="AB246" s="40"/>
    </row>
    <row r="247" spans="1:28" ht="16.5" customHeight="1" x14ac:dyDescent="0.35">
      <c r="A247" s="31" t="s">
        <v>394</v>
      </c>
      <c r="B247" s="22">
        <v>45755</v>
      </c>
      <c r="C247" s="22" t="s">
        <v>93</v>
      </c>
      <c r="D247" s="22" t="s">
        <v>94</v>
      </c>
      <c r="E247" s="22" t="s">
        <v>114</v>
      </c>
      <c r="F247" s="22" t="s">
        <v>115</v>
      </c>
      <c r="G247" s="22" t="s">
        <v>33</v>
      </c>
      <c r="H247" s="22">
        <v>3</v>
      </c>
      <c r="I247" s="22" t="s">
        <v>40</v>
      </c>
      <c r="J247" s="22">
        <v>79.989999999999995</v>
      </c>
      <c r="K247" s="22" t="s">
        <v>26</v>
      </c>
      <c r="L247" s="22" t="s">
        <v>22</v>
      </c>
      <c r="M247" s="22">
        <v>239.97</v>
      </c>
      <c r="N247" s="32">
        <v>44511</v>
      </c>
      <c r="O247" s="41"/>
      <c r="S247" s="27">
        <f t="shared" ca="1" si="28"/>
        <v>45985</v>
      </c>
      <c r="T247" s="19">
        <f t="shared" ca="1" si="29"/>
        <v>45985.990154629631</v>
      </c>
      <c r="U247" s="15">
        <f t="shared" ca="1" si="35"/>
        <v>4</v>
      </c>
      <c r="V247" s="20">
        <f t="shared" ca="1" si="30"/>
        <v>44511</v>
      </c>
      <c r="W247" s="20">
        <f t="shared" si="31"/>
        <v>44620</v>
      </c>
      <c r="Y247" s="15" t="str">
        <f t="shared" si="32"/>
        <v>VS</v>
      </c>
      <c r="Z247" s="15" t="str">
        <f t="shared" si="33"/>
        <v>VIRGINIA SANDERS</v>
      </c>
      <c r="AA247" s="15" t="str">
        <f t="shared" si="34"/>
        <v>virginia sanders</v>
      </c>
      <c r="AB247" s="40"/>
    </row>
    <row r="248" spans="1:28" ht="16.5" customHeight="1" x14ac:dyDescent="0.35">
      <c r="A248" s="31" t="s">
        <v>395</v>
      </c>
      <c r="B248" s="22">
        <v>45756</v>
      </c>
      <c r="C248" s="22" t="s">
        <v>59</v>
      </c>
      <c r="D248" s="22" t="s">
        <v>60</v>
      </c>
      <c r="E248" s="22" t="s">
        <v>117</v>
      </c>
      <c r="F248" s="22" t="s">
        <v>118</v>
      </c>
      <c r="G248" s="22" t="s">
        <v>19</v>
      </c>
      <c r="H248" s="22">
        <v>1</v>
      </c>
      <c r="I248" s="22" t="s">
        <v>63</v>
      </c>
      <c r="J248" s="22">
        <v>89.99</v>
      </c>
      <c r="K248" s="22" t="s">
        <v>57</v>
      </c>
      <c r="L248" s="22" t="s">
        <v>22</v>
      </c>
      <c r="M248" s="22">
        <v>89.99</v>
      </c>
      <c r="N248" s="32">
        <v>45346</v>
      </c>
      <c r="O248" s="41"/>
      <c r="S248" s="26">
        <f t="shared" ca="1" si="28"/>
        <v>45985</v>
      </c>
      <c r="T248" s="19">
        <f t="shared" ca="1" si="29"/>
        <v>45985.990154629631</v>
      </c>
      <c r="U248" s="15">
        <f t="shared" ca="1" si="35"/>
        <v>1</v>
      </c>
      <c r="V248" s="20">
        <f t="shared" ca="1" si="30"/>
        <v>45346</v>
      </c>
      <c r="W248" s="20">
        <f t="shared" si="31"/>
        <v>45443</v>
      </c>
      <c r="Y248" s="15" t="str">
        <f t="shared" si="32"/>
        <v>RT</v>
      </c>
      <c r="Z248" s="15" t="str">
        <f t="shared" si="33"/>
        <v>ROBERT THOMAS</v>
      </c>
      <c r="AA248" s="15" t="str">
        <f t="shared" si="34"/>
        <v>robert thomas</v>
      </c>
      <c r="AB248" s="40"/>
    </row>
    <row r="249" spans="1:28" ht="16.5" customHeight="1" x14ac:dyDescent="0.35">
      <c r="A249" s="31" t="s">
        <v>396</v>
      </c>
      <c r="B249" s="22">
        <v>45758</v>
      </c>
      <c r="C249" s="22" t="s">
        <v>293</v>
      </c>
      <c r="D249" s="22" t="s">
        <v>294</v>
      </c>
      <c r="E249" s="22" t="s">
        <v>80</v>
      </c>
      <c r="F249" s="22" t="s">
        <v>81</v>
      </c>
      <c r="G249" s="22" t="s">
        <v>19</v>
      </c>
      <c r="H249" s="22">
        <v>3</v>
      </c>
      <c r="I249" s="22" t="s">
        <v>40</v>
      </c>
      <c r="J249" s="22">
        <v>699.99</v>
      </c>
      <c r="K249" s="22" t="s">
        <v>34</v>
      </c>
      <c r="L249" s="22" t="s">
        <v>22</v>
      </c>
      <c r="M249" s="22">
        <v>2099.9699999999998</v>
      </c>
      <c r="N249" s="32">
        <v>44909</v>
      </c>
      <c r="O249" s="41"/>
      <c r="S249" s="27">
        <f t="shared" ca="1" si="28"/>
        <v>45985</v>
      </c>
      <c r="T249" s="19">
        <f t="shared" ca="1" si="29"/>
        <v>45985.990154629631</v>
      </c>
      <c r="U249" s="15">
        <f t="shared" ca="1" si="35"/>
        <v>2</v>
      </c>
      <c r="V249" s="20">
        <f t="shared" ca="1" si="30"/>
        <v>44909</v>
      </c>
      <c r="W249" s="20">
        <f t="shared" si="31"/>
        <v>45016</v>
      </c>
      <c r="Y249" s="15" t="str">
        <f t="shared" si="32"/>
        <v>DW</v>
      </c>
      <c r="Z249" s="15" t="str">
        <f t="shared" si="33"/>
        <v>DOUGLAS WATSON</v>
      </c>
      <c r="AA249" s="15" t="str">
        <f t="shared" si="34"/>
        <v>douglas watson</v>
      </c>
      <c r="AB249" s="40"/>
    </row>
    <row r="250" spans="1:28" ht="16.5" customHeight="1" x14ac:dyDescent="0.35">
      <c r="A250" s="31" t="s">
        <v>397</v>
      </c>
      <c r="B250" s="22">
        <v>45758</v>
      </c>
      <c r="C250" s="22" t="s">
        <v>226</v>
      </c>
      <c r="D250" s="22" t="s">
        <v>227</v>
      </c>
      <c r="E250" s="22" t="s">
        <v>117</v>
      </c>
      <c r="F250" s="22" t="s">
        <v>118</v>
      </c>
      <c r="G250" s="22" t="s">
        <v>19</v>
      </c>
      <c r="H250" s="22">
        <v>2</v>
      </c>
      <c r="I250" s="22" t="s">
        <v>63</v>
      </c>
      <c r="J250" s="22">
        <v>89.99</v>
      </c>
      <c r="K250" s="22" t="s">
        <v>57</v>
      </c>
      <c r="L250" s="22" t="s">
        <v>22</v>
      </c>
      <c r="M250" s="22">
        <v>179.98</v>
      </c>
      <c r="N250" s="32">
        <v>45088</v>
      </c>
      <c r="O250" s="41"/>
      <c r="S250" s="26">
        <f t="shared" ca="1" si="28"/>
        <v>45985</v>
      </c>
      <c r="T250" s="19">
        <f t="shared" ca="1" si="29"/>
        <v>45985.990154629631</v>
      </c>
      <c r="U250" s="15">
        <f t="shared" ca="1" si="35"/>
        <v>2</v>
      </c>
      <c r="V250" s="20">
        <f t="shared" ca="1" si="30"/>
        <v>45088</v>
      </c>
      <c r="W250" s="20">
        <f t="shared" si="31"/>
        <v>45199</v>
      </c>
      <c r="Y250" s="15" t="str">
        <f t="shared" si="32"/>
        <v>LR</v>
      </c>
      <c r="Z250" s="15" t="str">
        <f t="shared" si="33"/>
        <v>LAWRENCE REED</v>
      </c>
      <c r="AA250" s="15" t="str">
        <f t="shared" si="34"/>
        <v>lawrence reed</v>
      </c>
      <c r="AB250" s="40"/>
    </row>
    <row r="251" spans="1:28" ht="16.5" customHeight="1" x14ac:dyDescent="0.35">
      <c r="A251" s="33" t="s">
        <v>398</v>
      </c>
      <c r="B251" s="34">
        <v>45758</v>
      </c>
      <c r="C251" s="34" t="s">
        <v>138</v>
      </c>
      <c r="D251" s="34" t="s">
        <v>139</v>
      </c>
      <c r="E251" s="34" t="s">
        <v>117</v>
      </c>
      <c r="F251" s="34" t="s">
        <v>118</v>
      </c>
      <c r="G251" s="34" t="s">
        <v>19</v>
      </c>
      <c r="H251" s="34">
        <v>3</v>
      </c>
      <c r="I251" s="34" t="s">
        <v>40</v>
      </c>
      <c r="J251" s="34">
        <v>89.99</v>
      </c>
      <c r="K251" s="34" t="s">
        <v>57</v>
      </c>
      <c r="L251" s="34" t="s">
        <v>27</v>
      </c>
      <c r="M251" s="34">
        <v>269.97000000000003</v>
      </c>
      <c r="N251" s="35">
        <v>44878</v>
      </c>
      <c r="O251" s="41"/>
      <c r="S251" s="27">
        <f t="shared" ca="1" si="28"/>
        <v>45985</v>
      </c>
      <c r="T251" s="19">
        <f t="shared" ca="1" si="29"/>
        <v>45985.990154629631</v>
      </c>
      <c r="U251" s="15">
        <f t="shared" ca="1" si="35"/>
        <v>3</v>
      </c>
      <c r="V251" s="20">
        <f t="shared" ca="1" si="30"/>
        <v>44878</v>
      </c>
      <c r="W251" s="20">
        <f t="shared" si="31"/>
        <v>44985</v>
      </c>
      <c r="Y251" s="15" t="str">
        <f t="shared" si="32"/>
        <v>ST</v>
      </c>
      <c r="Z251" s="15" t="str">
        <f t="shared" si="33"/>
        <v>STEVEN TURNER</v>
      </c>
      <c r="AA251" s="15" t="str">
        <f t="shared" si="34"/>
        <v>steven turner</v>
      </c>
      <c r="AB251" s="40"/>
    </row>
    <row r="252" spans="1:28" x14ac:dyDescent="0.35">
      <c r="A252"/>
      <c r="B252"/>
      <c r="C252"/>
      <c r="D252"/>
      <c r="E252"/>
      <c r="F252"/>
      <c r="G252"/>
      <c r="H252"/>
      <c r="I252"/>
      <c r="J252"/>
      <c r="K252"/>
      <c r="L252"/>
      <c r="M252"/>
      <c r="N252"/>
      <c r="O252"/>
    </row>
  </sheetData>
  <scenarios current="1" show="1" sqref="R6">
    <scenario name="10 qty" locked="1" count="1" user="Meet Anghan" comment="Created by Meet Anghan on 11/24/2025">
      <inputCells r="Q4" val="10"/>
    </scenario>
    <scenario name="5 qty" locked="1" count="1" user="Meet Anghan" comment="Created by Meet Anghan on 11/24/2025">
      <inputCells r="Q4" val="5"/>
    </scenario>
    <scenario name="15 qty" locked="1" count="1" user="Meet Anghan" comment="Created by Meet Anghan on 11/24/2025">
      <inputCells r="Q4" val="15"/>
    </scenario>
  </scenarios>
  <mergeCells count="11">
    <mergeCell ref="AG8:AL8"/>
    <mergeCell ref="AG9:AL9"/>
    <mergeCell ref="AG3:AG5"/>
    <mergeCell ref="AH3:AH5"/>
    <mergeCell ref="AL3:AL5"/>
    <mergeCell ref="AG1:AN1"/>
    <mergeCell ref="AN3:AN5"/>
    <mergeCell ref="AP1:AS1"/>
    <mergeCell ref="P1:Q1"/>
    <mergeCell ref="P2:Q2"/>
    <mergeCell ref="P9:Q9"/>
  </mergeCells>
  <conditionalFormatting sqref="L253:L1048576">
    <cfRule type="colorScale" priority="3">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BE9AF-5722-4602-8ACE-29B5524E1907}">
  <dimension ref="B1:S52"/>
  <sheetViews>
    <sheetView zoomScale="41" workbookViewId="0">
      <selection sqref="A1:A1048576"/>
    </sheetView>
  </sheetViews>
  <sheetFormatPr defaultRowHeight="14.5" x14ac:dyDescent="0.35"/>
  <cols>
    <col min="2" max="2" width="13.36328125" bestFit="1" customWidth="1"/>
    <col min="3" max="3" width="18.81640625" bestFit="1" customWidth="1"/>
    <col min="5" max="5" width="13.36328125" bestFit="1" customWidth="1"/>
    <col min="6" max="6" width="18.81640625" bestFit="1" customWidth="1"/>
    <col min="8" max="8" width="15.1796875" bestFit="1" customWidth="1"/>
    <col min="9" max="9" width="18.81640625" bestFit="1" customWidth="1"/>
    <col min="11" max="11" width="15.453125" bestFit="1" customWidth="1"/>
    <col min="12" max="12" width="18.81640625" bestFit="1" customWidth="1"/>
    <col min="14" max="14" width="29.54296875" customWidth="1"/>
    <col min="18" max="18" width="11.453125" customWidth="1"/>
    <col min="19" max="19" width="20.54296875" bestFit="1" customWidth="1"/>
  </cols>
  <sheetData>
    <row r="1" spans="2:19" ht="16" x14ac:dyDescent="0.4">
      <c r="B1" s="21" t="s">
        <v>408</v>
      </c>
      <c r="C1" s="22" t="s">
        <v>407</v>
      </c>
      <c r="E1" s="21" t="s">
        <v>408</v>
      </c>
      <c r="F1" s="22" t="s">
        <v>407</v>
      </c>
      <c r="H1" s="21" t="s">
        <v>408</v>
      </c>
      <c r="I1" s="22" t="s">
        <v>410</v>
      </c>
      <c r="K1" s="61" t="s">
        <v>423</v>
      </c>
      <c r="L1" s="61"/>
      <c r="M1" s="62"/>
      <c r="N1" s="62"/>
      <c r="O1" s="62"/>
      <c r="P1" s="62"/>
      <c r="R1" s="66" t="s">
        <v>441</v>
      </c>
      <c r="S1" s="66"/>
    </row>
    <row r="2" spans="2:19" ht="16" x14ac:dyDescent="0.4">
      <c r="B2" s="23" t="s">
        <v>21</v>
      </c>
      <c r="C2" s="22">
        <v>14219.459999999992</v>
      </c>
      <c r="E2" s="23" t="s">
        <v>32</v>
      </c>
      <c r="F2" s="22">
        <v>1739.71</v>
      </c>
      <c r="H2" s="23" t="s">
        <v>326</v>
      </c>
      <c r="I2" s="24">
        <v>1559.94</v>
      </c>
      <c r="K2" s="63"/>
      <c r="L2" s="63"/>
      <c r="M2" s="64" t="s">
        <v>425</v>
      </c>
      <c r="N2" s="64" t="s">
        <v>435</v>
      </c>
      <c r="O2" s="64" t="s">
        <v>436</v>
      </c>
      <c r="P2" s="64" t="s">
        <v>437</v>
      </c>
      <c r="R2" s="69" t="s">
        <v>442</v>
      </c>
      <c r="S2" s="70" t="s">
        <v>415</v>
      </c>
    </row>
    <row r="3" spans="2:19" x14ac:dyDescent="0.35">
      <c r="B3" s="23" t="s">
        <v>63</v>
      </c>
      <c r="C3" s="22">
        <v>16569.519999999997</v>
      </c>
      <c r="E3" s="23" t="s">
        <v>45</v>
      </c>
      <c r="F3" s="22">
        <v>5249.649999999996</v>
      </c>
      <c r="H3" s="23" t="s">
        <v>97</v>
      </c>
      <c r="I3" s="24">
        <v>10649.8</v>
      </c>
      <c r="R3" s="22" t="s">
        <v>443</v>
      </c>
      <c r="S3" s="22">
        <f>analysis!BB2</f>
        <v>229192.47000000032</v>
      </c>
    </row>
    <row r="4" spans="2:19" x14ac:dyDescent="0.35">
      <c r="B4" s="23" t="s">
        <v>40</v>
      </c>
      <c r="C4" s="22">
        <v>19749.41</v>
      </c>
      <c r="E4" s="23" t="s">
        <v>115</v>
      </c>
      <c r="F4" s="22">
        <v>1119.8599999999999</v>
      </c>
      <c r="H4" s="23" t="s">
        <v>159</v>
      </c>
      <c r="I4" s="24">
        <v>5649.84</v>
      </c>
      <c r="K4" s="65" t="s">
        <v>424</v>
      </c>
      <c r="L4" s="46"/>
      <c r="M4" s="44"/>
      <c r="N4" s="44"/>
      <c r="O4" s="44"/>
      <c r="P4" s="44"/>
      <c r="R4" s="22" t="s">
        <v>446</v>
      </c>
      <c r="S4" s="22">
        <v>250000</v>
      </c>
    </row>
    <row r="5" spans="2:19" x14ac:dyDescent="0.35">
      <c r="B5" s="23" t="s">
        <v>35</v>
      </c>
      <c r="C5" s="22">
        <v>10189.579999999994</v>
      </c>
      <c r="E5" s="23" t="s">
        <v>106</v>
      </c>
      <c r="F5" s="22">
        <v>7799.7399999999961</v>
      </c>
      <c r="H5" s="23" t="s">
        <v>232</v>
      </c>
      <c r="I5" s="24">
        <v>1149.93</v>
      </c>
      <c r="K5" s="45"/>
      <c r="L5" s="45" t="s">
        <v>431</v>
      </c>
      <c r="M5" s="42">
        <v>5</v>
      </c>
      <c r="N5" s="48">
        <v>10</v>
      </c>
      <c r="O5" s="48">
        <v>5</v>
      </c>
      <c r="P5" s="48">
        <v>15</v>
      </c>
      <c r="R5" s="22" t="s">
        <v>444</v>
      </c>
      <c r="S5" s="67">
        <f>S3/S4</f>
        <v>0.91676988000000126</v>
      </c>
    </row>
    <row r="6" spans="2:19" x14ac:dyDescent="0.35">
      <c r="B6" s="23" t="s">
        <v>50</v>
      </c>
      <c r="C6" s="22">
        <v>13439.529999999992</v>
      </c>
      <c r="E6" s="23" t="s">
        <v>53</v>
      </c>
      <c r="F6" s="22">
        <v>2399.84</v>
      </c>
      <c r="H6" s="23" t="s">
        <v>56</v>
      </c>
      <c r="I6" s="24">
        <v>5089.7300000000005</v>
      </c>
      <c r="K6" s="65" t="s">
        <v>426</v>
      </c>
      <c r="L6" s="46"/>
      <c r="M6" s="44"/>
      <c r="N6" s="44"/>
      <c r="O6" s="44"/>
      <c r="P6" s="44"/>
      <c r="R6" s="22" t="s">
        <v>445</v>
      </c>
      <c r="S6" s="68">
        <f>100%-S5</f>
        <v>8.3230119999998742E-2</v>
      </c>
    </row>
    <row r="7" spans="2:19" ht="15" thickBot="1" x14ac:dyDescent="0.4">
      <c r="B7" s="23" t="s">
        <v>409</v>
      </c>
      <c r="C7" s="22">
        <v>74167.499999999971</v>
      </c>
      <c r="E7" s="23" t="s">
        <v>118</v>
      </c>
      <c r="F7" s="22">
        <v>3059.6599999999976</v>
      </c>
      <c r="H7" s="23" t="s">
        <v>103</v>
      </c>
      <c r="I7" s="24">
        <v>3769.8300000000004</v>
      </c>
      <c r="K7" s="47"/>
      <c r="L7" s="47" t="s">
        <v>438</v>
      </c>
      <c r="M7" s="43">
        <v>1149.95</v>
      </c>
      <c r="N7" s="43">
        <v>2399.9</v>
      </c>
      <c r="O7" s="43">
        <v>1149.95</v>
      </c>
      <c r="P7" s="43">
        <v>3649.85</v>
      </c>
    </row>
    <row r="8" spans="2:19" x14ac:dyDescent="0.35">
      <c r="E8" s="23" t="s">
        <v>62</v>
      </c>
      <c r="F8" s="22">
        <v>21599.760000000006</v>
      </c>
      <c r="H8" s="23" t="s">
        <v>148</v>
      </c>
      <c r="I8" s="24">
        <v>7309.7999999999993</v>
      </c>
      <c r="K8" t="s">
        <v>427</v>
      </c>
    </row>
    <row r="9" spans="2:19" x14ac:dyDescent="0.35">
      <c r="B9" s="21" t="s">
        <v>408</v>
      </c>
      <c r="C9" s="22" t="s">
        <v>410</v>
      </c>
      <c r="E9" s="23" t="s">
        <v>18</v>
      </c>
      <c r="F9" s="22">
        <v>6499.7399999999961</v>
      </c>
      <c r="H9" s="23" t="s">
        <v>183</v>
      </c>
      <c r="I9" s="24">
        <v>1809.84</v>
      </c>
      <c r="K9" t="s">
        <v>428</v>
      </c>
    </row>
    <row r="10" spans="2:19" x14ac:dyDescent="0.35">
      <c r="B10" s="23" t="s">
        <v>33</v>
      </c>
      <c r="C10" s="24">
        <v>8338.74</v>
      </c>
      <c r="E10" s="23" t="s">
        <v>127</v>
      </c>
      <c r="F10" s="22">
        <v>2999.8499999999995</v>
      </c>
      <c r="H10" s="23" t="s">
        <v>76</v>
      </c>
      <c r="I10" s="24">
        <v>479.91999999999996</v>
      </c>
      <c r="K10" t="s">
        <v>429</v>
      </c>
    </row>
    <row r="11" spans="2:19" x14ac:dyDescent="0.35">
      <c r="B11" s="25" t="s">
        <v>21</v>
      </c>
      <c r="C11" s="24">
        <v>1999.71</v>
      </c>
      <c r="E11" s="23" t="s">
        <v>81</v>
      </c>
      <c r="F11" s="22">
        <v>21699.69000000001</v>
      </c>
      <c r="H11" s="23" t="s">
        <v>49</v>
      </c>
      <c r="I11" s="24">
        <v>8269.7900000000009</v>
      </c>
    </row>
    <row r="12" spans="2:19" x14ac:dyDescent="0.35">
      <c r="B12" s="25" t="s">
        <v>63</v>
      </c>
      <c r="C12" s="24">
        <v>2239.67</v>
      </c>
      <c r="E12" s="23" t="s">
        <v>409</v>
      </c>
      <c r="F12" s="22">
        <v>74167.5</v>
      </c>
      <c r="H12" s="23" t="s">
        <v>294</v>
      </c>
      <c r="I12" s="24">
        <v>4829.8899999999994</v>
      </c>
    </row>
    <row r="13" spans="2:19" x14ac:dyDescent="0.35">
      <c r="B13" s="25" t="s">
        <v>40</v>
      </c>
      <c r="C13" s="24">
        <v>1119.8399999999999</v>
      </c>
      <c r="H13" s="23" t="s">
        <v>124</v>
      </c>
      <c r="I13" s="24">
        <v>11919.769999999999</v>
      </c>
    </row>
    <row r="14" spans="2:19" x14ac:dyDescent="0.35">
      <c r="B14" s="25" t="s">
        <v>35</v>
      </c>
      <c r="C14" s="24">
        <v>1099.83</v>
      </c>
      <c r="E14" s="21" t="s">
        <v>408</v>
      </c>
      <c r="F14" s="22" t="s">
        <v>410</v>
      </c>
      <c r="H14" s="23" t="s">
        <v>212</v>
      </c>
      <c r="I14" s="24">
        <v>3649.8599999999997</v>
      </c>
    </row>
    <row r="15" spans="2:19" x14ac:dyDescent="0.35">
      <c r="B15" s="25" t="s">
        <v>50</v>
      </c>
      <c r="C15" s="24">
        <v>1879.69</v>
      </c>
      <c r="E15" s="23" t="s">
        <v>33</v>
      </c>
      <c r="F15" s="24">
        <v>8338.7399999999961</v>
      </c>
      <c r="H15" s="23" t="s">
        <v>133</v>
      </c>
      <c r="I15" s="24">
        <v>1229.8800000000001</v>
      </c>
    </row>
    <row r="16" spans="2:19" x14ac:dyDescent="0.35">
      <c r="B16" s="23" t="s">
        <v>19</v>
      </c>
      <c r="C16" s="24">
        <v>171756.05000000002</v>
      </c>
      <c r="E16" s="23" t="s">
        <v>19</v>
      </c>
      <c r="F16" s="24">
        <v>171756.05000000013</v>
      </c>
      <c r="H16" s="23" t="s">
        <v>193</v>
      </c>
      <c r="I16" s="24">
        <v>1479.91</v>
      </c>
    </row>
    <row r="17" spans="2:9" x14ac:dyDescent="0.35">
      <c r="B17" s="25" t="s">
        <v>21</v>
      </c>
      <c r="C17" s="24">
        <v>24889.329999999998</v>
      </c>
      <c r="E17" s="23" t="s">
        <v>46</v>
      </c>
      <c r="F17" s="24">
        <v>49097.680000000015</v>
      </c>
      <c r="H17" s="23" t="s">
        <v>84</v>
      </c>
      <c r="I17" s="24">
        <v>3779.93</v>
      </c>
    </row>
    <row r="18" spans="2:9" x14ac:dyDescent="0.35">
      <c r="B18" s="25" t="s">
        <v>63</v>
      </c>
      <c r="C18" s="24">
        <v>50649.009999999995</v>
      </c>
      <c r="E18" s="23" t="s">
        <v>409</v>
      </c>
      <c r="F18" s="24">
        <v>229192.47000000015</v>
      </c>
      <c r="H18" s="23" t="s">
        <v>197</v>
      </c>
      <c r="I18" s="24">
        <v>6379.87</v>
      </c>
    </row>
    <row r="19" spans="2:9" x14ac:dyDescent="0.35">
      <c r="B19" s="25" t="s">
        <v>40</v>
      </c>
      <c r="C19" s="24">
        <v>39239.040000000015</v>
      </c>
      <c r="H19" s="23" t="s">
        <v>145</v>
      </c>
      <c r="I19" s="24">
        <v>5519.8899999999994</v>
      </c>
    </row>
    <row r="20" spans="2:9" x14ac:dyDescent="0.35">
      <c r="B20" s="25" t="s">
        <v>35</v>
      </c>
      <c r="C20" s="24">
        <v>25549.32</v>
      </c>
      <c r="H20" s="23" t="s">
        <v>121</v>
      </c>
      <c r="I20" s="24">
        <v>6459.79</v>
      </c>
    </row>
    <row r="21" spans="2:9" x14ac:dyDescent="0.35">
      <c r="B21" s="25" t="s">
        <v>50</v>
      </c>
      <c r="C21" s="24">
        <v>31429.35</v>
      </c>
      <c r="H21" s="23" t="s">
        <v>305</v>
      </c>
      <c r="I21" s="24">
        <v>179.97</v>
      </c>
    </row>
    <row r="22" spans="2:9" x14ac:dyDescent="0.35">
      <c r="B22" s="23" t="s">
        <v>46</v>
      </c>
      <c r="C22" s="24">
        <v>49097.679999999993</v>
      </c>
      <c r="H22" s="23" t="s">
        <v>142</v>
      </c>
      <c r="I22" s="24">
        <v>4739.8500000000004</v>
      </c>
    </row>
    <row r="23" spans="2:9" x14ac:dyDescent="0.35">
      <c r="B23" s="25" t="s">
        <v>21</v>
      </c>
      <c r="C23" s="24">
        <v>14399.300000000001</v>
      </c>
      <c r="H23" s="23" t="s">
        <v>387</v>
      </c>
      <c r="I23" s="24">
        <v>599.96</v>
      </c>
    </row>
    <row r="24" spans="2:9" x14ac:dyDescent="0.35">
      <c r="B24" s="25" t="s">
        <v>63</v>
      </c>
      <c r="C24" s="24">
        <v>6399.71</v>
      </c>
      <c r="H24" s="23" t="s">
        <v>25</v>
      </c>
      <c r="I24" s="24">
        <v>6949.84</v>
      </c>
    </row>
    <row r="25" spans="2:9" x14ac:dyDescent="0.35">
      <c r="B25" s="25" t="s">
        <v>40</v>
      </c>
      <c r="C25" s="24">
        <v>10449.429999999997</v>
      </c>
      <c r="H25" s="23" t="s">
        <v>163</v>
      </c>
      <c r="I25" s="24">
        <v>239.96</v>
      </c>
    </row>
    <row r="26" spans="2:9" x14ac:dyDescent="0.35">
      <c r="B26" s="25" t="s">
        <v>35</v>
      </c>
      <c r="C26" s="24">
        <v>9749.5999999999985</v>
      </c>
      <c r="H26" s="23" t="s">
        <v>66</v>
      </c>
      <c r="I26" s="24">
        <v>8009.7699999999995</v>
      </c>
    </row>
    <row r="27" spans="2:9" x14ac:dyDescent="0.35">
      <c r="B27" s="25" t="s">
        <v>50</v>
      </c>
      <c r="C27" s="24">
        <v>8099.6400000000012</v>
      </c>
      <c r="H27" s="23" t="s">
        <v>39</v>
      </c>
      <c r="I27" s="24">
        <v>4309.8099999999995</v>
      </c>
    </row>
    <row r="28" spans="2:9" x14ac:dyDescent="0.35">
      <c r="B28" s="23" t="s">
        <v>409</v>
      </c>
      <c r="C28" s="24">
        <v>229192.47</v>
      </c>
      <c r="H28" s="23" t="s">
        <v>30</v>
      </c>
      <c r="I28" s="24">
        <v>3259.87</v>
      </c>
    </row>
    <row r="29" spans="2:9" x14ac:dyDescent="0.35">
      <c r="H29" s="23" t="s">
        <v>227</v>
      </c>
      <c r="I29" s="24">
        <v>6989.7699999999986</v>
      </c>
    </row>
    <row r="30" spans="2:9" x14ac:dyDescent="0.35">
      <c r="H30" s="23" t="s">
        <v>113</v>
      </c>
      <c r="I30" s="24">
        <v>1289.9000000000001</v>
      </c>
    </row>
    <row r="31" spans="2:9" x14ac:dyDescent="0.35">
      <c r="H31" s="23" t="s">
        <v>130</v>
      </c>
      <c r="I31" s="24">
        <v>2039.8000000000002</v>
      </c>
    </row>
    <row r="32" spans="2:9" x14ac:dyDescent="0.35">
      <c r="H32" s="23" t="s">
        <v>186</v>
      </c>
      <c r="I32" s="24">
        <v>2099.88</v>
      </c>
    </row>
    <row r="33" spans="8:9" x14ac:dyDescent="0.35">
      <c r="H33" s="23" t="s">
        <v>90</v>
      </c>
      <c r="I33" s="24">
        <v>1909.93</v>
      </c>
    </row>
    <row r="34" spans="8:9" x14ac:dyDescent="0.35">
      <c r="H34" s="23" t="s">
        <v>87</v>
      </c>
      <c r="I34" s="24">
        <v>15659.65</v>
      </c>
    </row>
    <row r="35" spans="8:9" x14ac:dyDescent="0.35">
      <c r="H35" s="23" t="s">
        <v>43</v>
      </c>
      <c r="I35" s="24">
        <v>6169.7400000000007</v>
      </c>
    </row>
    <row r="36" spans="8:9" x14ac:dyDescent="0.35">
      <c r="H36" s="23" t="s">
        <v>79</v>
      </c>
      <c r="I36" s="24">
        <v>4199.9399999999996</v>
      </c>
    </row>
    <row r="37" spans="8:9" x14ac:dyDescent="0.35">
      <c r="H37" s="23" t="s">
        <v>109</v>
      </c>
      <c r="I37" s="24">
        <v>4189.7700000000004</v>
      </c>
    </row>
    <row r="38" spans="8:9" x14ac:dyDescent="0.35">
      <c r="H38" s="23" t="s">
        <v>100</v>
      </c>
      <c r="I38" s="24">
        <v>9799.73</v>
      </c>
    </row>
    <row r="39" spans="8:9" x14ac:dyDescent="0.35">
      <c r="H39" s="23" t="s">
        <v>16</v>
      </c>
      <c r="I39" s="24">
        <v>8309.739999999998</v>
      </c>
    </row>
    <row r="40" spans="8:9" x14ac:dyDescent="0.35">
      <c r="H40" s="23" t="s">
        <v>73</v>
      </c>
      <c r="I40" s="24">
        <v>5949.85</v>
      </c>
    </row>
    <row r="41" spans="8:9" x14ac:dyDescent="0.35">
      <c r="H41" s="23" t="s">
        <v>172</v>
      </c>
      <c r="I41" s="24">
        <v>3669.8500000000004</v>
      </c>
    </row>
    <row r="42" spans="8:9" x14ac:dyDescent="0.35">
      <c r="H42" s="23" t="s">
        <v>260</v>
      </c>
      <c r="I42" s="24">
        <v>739.93000000000006</v>
      </c>
    </row>
    <row r="43" spans="8:9" x14ac:dyDescent="0.35">
      <c r="H43" s="23" t="s">
        <v>60</v>
      </c>
      <c r="I43" s="24">
        <v>3509.8999999999996</v>
      </c>
    </row>
    <row r="44" spans="8:9" x14ac:dyDescent="0.35">
      <c r="H44" s="23" t="s">
        <v>247</v>
      </c>
      <c r="I44" s="24">
        <v>1749.92</v>
      </c>
    </row>
    <row r="45" spans="8:9" x14ac:dyDescent="0.35">
      <c r="H45" s="23" t="s">
        <v>235</v>
      </c>
      <c r="I45" s="24">
        <v>6349.83</v>
      </c>
    </row>
    <row r="46" spans="8:9" x14ac:dyDescent="0.35">
      <c r="H46" s="23" t="s">
        <v>155</v>
      </c>
      <c r="I46" s="24">
        <v>5499.8099999999995</v>
      </c>
    </row>
    <row r="47" spans="8:9" x14ac:dyDescent="0.35">
      <c r="H47" s="23" t="s">
        <v>151</v>
      </c>
      <c r="I47" s="24">
        <v>5619.869999999999</v>
      </c>
    </row>
    <row r="48" spans="8:9" x14ac:dyDescent="0.35">
      <c r="H48" s="23" t="s">
        <v>139</v>
      </c>
      <c r="I48" s="24">
        <v>2649.83</v>
      </c>
    </row>
    <row r="49" spans="8:9" x14ac:dyDescent="0.35">
      <c r="H49" s="23" t="s">
        <v>69</v>
      </c>
      <c r="I49" s="24">
        <v>1979.89</v>
      </c>
    </row>
    <row r="50" spans="8:9" x14ac:dyDescent="0.35">
      <c r="H50" s="23" t="s">
        <v>94</v>
      </c>
      <c r="I50" s="24">
        <v>4789.7900000000009</v>
      </c>
    </row>
    <row r="51" spans="8:9" x14ac:dyDescent="0.35">
      <c r="H51" s="23" t="s">
        <v>253</v>
      </c>
      <c r="I51" s="24">
        <v>4749.91</v>
      </c>
    </row>
    <row r="52" spans="8:9" x14ac:dyDescent="0.35">
      <c r="H52" s="23" t="s">
        <v>409</v>
      </c>
      <c r="I52" s="24">
        <v>229192.46999999997</v>
      </c>
    </row>
  </sheetData>
  <mergeCells count="1">
    <mergeCell ref="R1:S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99CCD-C4BB-4A8D-A38F-0E416DE8373F}">
  <dimension ref="A1"/>
  <sheetViews>
    <sheetView showGridLines="0" tabSelected="1" zoomScale="62" zoomScaleNormal="70" workbookViewId="0">
      <selection activeCell="U6" sqref="U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raw data</vt:lpstr>
      <vt:lpstr>analysis</vt:lpstr>
      <vt:lpstr>visualizations</vt:lpstr>
      <vt:lpstr>Dashboard1</vt:lpstr>
      <vt:lpstr>qty</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Meet Anghan</dc:creator>
  <cp:lastModifiedBy>Meet Anghan</cp:lastModifiedBy>
  <dcterms:created xsi:type="dcterms:W3CDTF">2025-11-19T05:15:57Z</dcterms:created>
  <dcterms:modified xsi:type="dcterms:W3CDTF">2025-11-24T18:29:13Z</dcterms:modified>
</cp:coreProperties>
</file>