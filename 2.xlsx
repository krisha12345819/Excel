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13_ncr:1_{6A2E3303-E969-4E44-A58E-F94E5FBC4617}" xr6:coauthVersionLast="47" xr6:coauthVersionMax="47" xr10:uidLastSave="{00000000-0000-0000-0000-000000000000}"/>
  <bookViews>
    <workbookView xWindow="-110" yWindow="-110" windowWidth="19420" windowHeight="10420" firstSheet="1" activeTab="10" xr2:uid="{75A53434-DEC4-44DE-B147-D8D684B9DCBB}"/>
  </bookViews>
  <sheets>
    <sheet name="data" sheetId="1" r:id="rId1"/>
    <sheet name="1" sheetId="2" r:id="rId2"/>
    <sheet name="2" sheetId="11" r:id="rId3"/>
    <sheet name="3" sheetId="12" r:id="rId4"/>
    <sheet name="4" sheetId="13" r:id="rId5"/>
    <sheet name="5" sheetId="14" r:id="rId6"/>
    <sheet name="6" sheetId="15" r:id="rId7"/>
    <sheet name="7" sheetId="7" r:id="rId8"/>
    <sheet name="8" sheetId="8" r:id="rId9"/>
    <sheet name="9" sheetId="9" r:id="rId10"/>
    <sheet name="10" sheetId="10" r:id="rId11"/>
  </sheets>
  <definedNames>
    <definedName name="Slicer_Customer_Name">#N/A</definedName>
    <definedName name="Slicer_Product_Category">#N/A</definedName>
    <definedName name="Slicer_Region">#N/A</definedName>
  </definedNames>
  <calcPr calcId="191029"/>
  <pivotCaches>
    <pivotCache cacheId="13" r:id="rId12"/>
    <pivotCache cacheId="17"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4" l="1"/>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 i="14"/>
  <c r="E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 i="11"/>
  <c r="D2" i="15" a="1"/>
  <c r="D2" i="15" s="1"/>
  <c r="D3" i="15" a="1"/>
  <c r="D3" i="15" s="1"/>
  <c r="D4" i="15" a="1"/>
  <c r="D4" i="15" s="1"/>
  <c r="D5" i="15" a="1"/>
  <c r="D5" i="15" s="1"/>
  <c r="D6" i="15" a="1"/>
  <c r="D6" i="15" s="1"/>
  <c r="D7" i="15" a="1"/>
  <c r="D7" i="15" s="1"/>
  <c r="D8" i="15" a="1"/>
  <c r="D8" i="15" s="1"/>
  <c r="D9" i="15" a="1"/>
  <c r="D9" i="15" s="1"/>
  <c r="D10" i="15" a="1"/>
  <c r="D10" i="15" s="1"/>
  <c r="D11" i="15" a="1"/>
  <c r="D11" i="15" s="1"/>
  <c r="D12" i="15" a="1"/>
  <c r="D12" i="15" s="1"/>
  <c r="D13" i="15" a="1"/>
  <c r="D13" i="15" s="1"/>
  <c r="D14" i="15" a="1"/>
  <c r="D14" i="15" s="1"/>
  <c r="D15" i="15" a="1"/>
  <c r="D15" i="15" s="1"/>
  <c r="D16" i="15" a="1"/>
  <c r="D16" i="15" s="1"/>
  <c r="D17" i="15" a="1"/>
  <c r="D17" i="15" s="1"/>
  <c r="D18" i="15" a="1"/>
  <c r="D18" i="15" s="1"/>
  <c r="D19" i="15" a="1"/>
  <c r="D19" i="15" s="1"/>
  <c r="D20" i="15" a="1"/>
  <c r="D20" i="15" s="1"/>
  <c r="D21" i="15" a="1"/>
  <c r="D21" i="15" s="1"/>
  <c r="D22" i="15" a="1"/>
  <c r="D22" i="15" s="1"/>
  <c r="D23" i="15" a="1"/>
  <c r="D23" i="15" s="1"/>
  <c r="D24" i="15" a="1"/>
  <c r="D24" i="15" s="1"/>
  <c r="D25" i="15" a="1"/>
  <c r="D25" i="15" s="1"/>
  <c r="D26" i="15" a="1"/>
  <c r="D26" i="15" s="1"/>
  <c r="D27" i="15" a="1"/>
  <c r="D27" i="15" s="1"/>
  <c r="D28" i="15" a="1"/>
  <c r="D28" i="15" s="1"/>
  <c r="D29" i="15" a="1"/>
  <c r="D29" i="15" s="1"/>
  <c r="D30" i="15" a="1"/>
  <c r="D30" i="15" s="1"/>
  <c r="D31" i="15" a="1"/>
  <c r="D31" i="15" s="1"/>
  <c r="D32" i="15" a="1"/>
  <c r="D32" i="15" s="1"/>
  <c r="D33" i="15" a="1"/>
  <c r="D33" i="15" s="1"/>
  <c r="D34" i="15" a="1"/>
  <c r="D34" i="15" s="1"/>
  <c r="D35" i="15" a="1"/>
  <c r="D35" i="15" s="1"/>
  <c r="D36" i="15" a="1"/>
  <c r="D36" i="15" s="1"/>
  <c r="D37" i="15" a="1"/>
  <c r="D37" i="15" s="1"/>
  <c r="D38" i="15" a="1"/>
  <c r="D38" i="15" s="1"/>
  <c r="D39" i="15" a="1"/>
  <c r="D39" i="15" s="1"/>
  <c r="D40" i="15" a="1"/>
  <c r="D40" i="15" s="1"/>
  <c r="D41" i="15" a="1"/>
  <c r="D41" i="15" s="1"/>
  <c r="D42" i="15" a="1"/>
  <c r="D42" i="15" s="1"/>
  <c r="D43" i="15" a="1"/>
  <c r="D43" i="15" s="1"/>
  <c r="D44" i="15" a="1"/>
  <c r="D44" i="15" s="1"/>
  <c r="D45" i="15" a="1"/>
  <c r="D45" i="15" s="1"/>
  <c r="D46" i="15" a="1"/>
  <c r="D46" i="15" s="1"/>
  <c r="D47" i="15" a="1"/>
  <c r="D47" i="15" s="1"/>
  <c r="D48" i="15" a="1"/>
  <c r="D48" i="15" s="1"/>
  <c r="D49" i="15" a="1"/>
  <c r="D49" i="15" s="1"/>
  <c r="D50" i="15" a="1"/>
  <c r="D50" i="15" s="1"/>
  <c r="D51" i="15" a="1"/>
  <c r="D51" i="15" s="1"/>
  <c r="D52" i="15" a="1"/>
  <c r="D52" i="15" s="1"/>
  <c r="D53" i="15" a="1"/>
  <c r="D53" i="15" s="1"/>
  <c r="D54" i="15" a="1"/>
  <c r="D54" i="15" s="1"/>
  <c r="D55" i="15" a="1"/>
  <c r="D55" i="15" s="1"/>
  <c r="D56" i="15" a="1"/>
  <c r="D56" i="15" s="1"/>
  <c r="D57" i="15" a="1"/>
  <c r="D57" i="15" s="1"/>
  <c r="D58" i="15" a="1"/>
  <c r="D58" i="15" s="1"/>
  <c r="D59" i="15" a="1"/>
  <c r="D59" i="15" s="1"/>
  <c r="D60" i="15" a="1"/>
  <c r="D60" i="15" s="1"/>
  <c r="D61" i="15" a="1"/>
  <c r="D61" i="15" s="1"/>
  <c r="D62" i="15" a="1"/>
  <c r="D62" i="15" s="1"/>
  <c r="D63" i="15" a="1"/>
  <c r="D63" i="15" s="1"/>
  <c r="D64" i="15" a="1"/>
  <c r="D64" i="15" s="1"/>
  <c r="D65" i="15" a="1"/>
  <c r="D65" i="15" s="1"/>
  <c r="D66" i="15" a="1"/>
  <c r="D66" i="15" s="1"/>
  <c r="D67" i="15" a="1"/>
  <c r="D67" i="15" s="1"/>
  <c r="D68" i="15" a="1"/>
  <c r="D68" i="15" s="1"/>
  <c r="D69" i="15" a="1"/>
  <c r="D69" i="15" s="1"/>
  <c r="D70" i="15" a="1"/>
  <c r="D70" i="15" s="1"/>
  <c r="D71" i="15" a="1"/>
  <c r="D71" i="15" s="1"/>
  <c r="D72" i="15" a="1"/>
  <c r="D72" i="15" s="1"/>
  <c r="D73" i="15" a="1"/>
  <c r="D73" i="15" s="1"/>
  <c r="D74" i="15" a="1"/>
  <c r="D74" i="15" s="1"/>
  <c r="D75" i="15" a="1"/>
  <c r="D75" i="15" s="1"/>
  <c r="D76" i="15" a="1"/>
  <c r="D76" i="15" s="1"/>
  <c r="D77" i="15" a="1"/>
  <c r="D77" i="15" s="1"/>
  <c r="D78" i="15" a="1"/>
  <c r="D78" i="15" s="1"/>
  <c r="D79" i="15" a="1"/>
  <c r="D79" i="15" s="1"/>
  <c r="D80" i="15" a="1"/>
  <c r="D80" i="15" s="1"/>
  <c r="D81" i="15" a="1"/>
  <c r="D81" i="15" s="1"/>
  <c r="D82" i="15" a="1"/>
  <c r="D82" i="15" s="1"/>
  <c r="D83" i="15" a="1"/>
  <c r="D83" i="15" s="1"/>
  <c r="D84" i="15" a="1"/>
  <c r="D84" i="15" s="1"/>
  <c r="D85" i="15" a="1"/>
  <c r="D85" i="15" s="1"/>
  <c r="D86" i="15" a="1"/>
  <c r="D86" i="15" s="1"/>
  <c r="D87" i="15" a="1"/>
  <c r="D87" i="15" s="1"/>
  <c r="D88" i="15" a="1"/>
  <c r="D88" i="15" s="1"/>
  <c r="D89" i="15" a="1"/>
  <c r="D89" i="15" s="1"/>
  <c r="D90" i="15" a="1"/>
  <c r="D90" i="15" s="1"/>
  <c r="D91" i="15" a="1"/>
  <c r="D91" i="15" s="1"/>
  <c r="D92" i="15" a="1"/>
  <c r="D92" i="15" s="1"/>
  <c r="D93" i="15" a="1"/>
  <c r="D93" i="15" s="1"/>
  <c r="D94" i="15" a="1"/>
  <c r="D94" i="15" s="1"/>
  <c r="D95" i="15" a="1"/>
  <c r="D95" i="15" s="1"/>
  <c r="D96" i="15" a="1"/>
  <c r="D96" i="15" s="1"/>
  <c r="D97" i="15" a="1"/>
  <c r="D97" i="15" s="1"/>
  <c r="D98" i="15" a="1"/>
  <c r="D98" i="15" s="1"/>
  <c r="D99" i="15" a="1"/>
  <c r="D99" i="15" s="1"/>
  <c r="D100" i="15" a="1"/>
  <c r="D100" i="15" s="1"/>
  <c r="D101" i="15" a="1"/>
  <c r="D101" i="15" s="1"/>
  <c r="D102" i="15" a="1"/>
  <c r="D102" i="15" s="1"/>
  <c r="D103" i="15" a="1"/>
  <c r="D103" i="15" s="1"/>
  <c r="D104" i="15" a="1"/>
  <c r="D104" i="15" s="1"/>
  <c r="D105" i="15" a="1"/>
  <c r="D105" i="15" s="1"/>
  <c r="D106" i="15" a="1"/>
  <c r="D106" i="15" s="1"/>
  <c r="D107" i="15" a="1"/>
  <c r="D107" i="15" s="1"/>
  <c r="D108" i="15" a="1"/>
  <c r="D108" i="15" s="1"/>
  <c r="D109" i="15" a="1"/>
  <c r="D109" i="15" s="1"/>
  <c r="D110" i="15" a="1"/>
  <c r="D110" i="15" s="1"/>
  <c r="D111" i="15" a="1"/>
  <c r="D111" i="15" s="1"/>
  <c r="D112" i="15" a="1"/>
  <c r="D112" i="15" s="1"/>
  <c r="D113" i="15" a="1"/>
  <c r="D113" i="15" s="1"/>
  <c r="D114" i="15" a="1"/>
  <c r="D114" i="15" s="1"/>
  <c r="D115" i="15" a="1"/>
  <c r="D115" i="15" s="1"/>
  <c r="D116" i="15" a="1"/>
  <c r="D116" i="15" s="1"/>
  <c r="D117" i="15" a="1"/>
  <c r="D117" i="15" s="1"/>
  <c r="D118" i="15" a="1"/>
  <c r="D118" i="15" s="1"/>
  <c r="D119" i="15" a="1"/>
  <c r="D119" i="15" s="1"/>
  <c r="D120" i="15" a="1"/>
  <c r="D120" i="15" s="1"/>
  <c r="D121" i="15" a="1"/>
  <c r="D121" i="15" s="1"/>
  <c r="D122" i="15" a="1"/>
  <c r="D122" i="15" s="1"/>
  <c r="D123" i="15" a="1"/>
  <c r="D123" i="15" s="1"/>
  <c r="D124" i="15" a="1"/>
  <c r="D124" i="15" s="1"/>
  <c r="D125" i="15" a="1"/>
  <c r="D125" i="15" s="1"/>
  <c r="D126" i="15" a="1"/>
  <c r="D126" i="15" s="1"/>
  <c r="D127" i="15" a="1"/>
  <c r="D127" i="15" s="1"/>
  <c r="D128" i="15" a="1"/>
  <c r="D128" i="15" s="1"/>
  <c r="D129" i="15" a="1"/>
  <c r="D129" i="15" s="1"/>
  <c r="D130" i="15" a="1"/>
  <c r="D130" i="15" s="1"/>
  <c r="D131" i="15" a="1"/>
  <c r="D131" i="15" s="1"/>
  <c r="D132" i="15" a="1"/>
  <c r="D132" i="15" s="1"/>
  <c r="D133" i="15" a="1"/>
  <c r="D133" i="15" s="1"/>
  <c r="D134" i="15" a="1"/>
  <c r="D134" i="15" s="1"/>
  <c r="D135" i="15" a="1"/>
  <c r="D135" i="15" s="1"/>
  <c r="D136" i="15" a="1"/>
  <c r="D136" i="15" s="1"/>
  <c r="D137" i="15" a="1"/>
  <c r="D137" i="15" s="1"/>
  <c r="D138" i="15" a="1"/>
  <c r="D138" i="15" s="1"/>
  <c r="D139" i="15" a="1"/>
  <c r="D139" i="15" s="1"/>
  <c r="D140" i="15" a="1"/>
  <c r="D140" i="15" s="1"/>
  <c r="D141" i="15" a="1"/>
  <c r="D141" i="15" s="1"/>
  <c r="D142" i="15" a="1"/>
  <c r="D142" i="15" s="1"/>
  <c r="D143" i="15" a="1"/>
  <c r="D143" i="15" s="1"/>
  <c r="D144" i="15" a="1"/>
  <c r="D144" i="15" s="1"/>
  <c r="D145" i="15" a="1"/>
  <c r="D145" i="15" s="1"/>
  <c r="D146" i="15" a="1"/>
  <c r="D146" i="15" s="1"/>
  <c r="D147" i="15" a="1"/>
  <c r="D147" i="15" s="1"/>
  <c r="D148" i="15" a="1"/>
  <c r="D148" i="15" s="1"/>
  <c r="D149" i="15" a="1"/>
  <c r="D149" i="15" s="1"/>
  <c r="D150" i="15" a="1"/>
  <c r="D150" i="15" s="1"/>
  <c r="D151" i="15" a="1"/>
  <c r="D151" i="15" s="1"/>
  <c r="D152" i="15" a="1"/>
  <c r="D152" i="15" s="1"/>
  <c r="D153" i="15" a="1"/>
  <c r="D153" i="15" s="1"/>
  <c r="D154" i="15" a="1"/>
  <c r="D154" i="15" s="1"/>
  <c r="D155" i="15" a="1"/>
  <c r="D155" i="15" s="1"/>
  <c r="D156" i="15" a="1"/>
  <c r="D156" i="15" s="1"/>
  <c r="D157" i="15" a="1"/>
  <c r="D157" i="15" s="1"/>
  <c r="D158" i="15" a="1"/>
  <c r="D158" i="15" s="1"/>
  <c r="D159" i="15" a="1"/>
  <c r="D159" i="15" s="1"/>
  <c r="D160" i="15" a="1"/>
  <c r="D160" i="15" s="1"/>
  <c r="D161" i="15" a="1"/>
  <c r="D161" i="15" s="1"/>
  <c r="D162" i="15" a="1"/>
  <c r="D162" i="15" s="1"/>
  <c r="D163" i="15" a="1"/>
  <c r="D163" i="15" s="1"/>
  <c r="D164" i="15" a="1"/>
  <c r="D164" i="15" s="1"/>
  <c r="D165" i="15" a="1"/>
  <c r="D165" i="15" s="1"/>
  <c r="D166" i="15" a="1"/>
  <c r="D166" i="15" s="1"/>
  <c r="D167" i="15" a="1"/>
  <c r="D167" i="15" s="1"/>
  <c r="D168" i="15" a="1"/>
  <c r="D168" i="15" s="1"/>
  <c r="D169" i="15" a="1"/>
  <c r="D169" i="15" s="1"/>
  <c r="D170" i="15" a="1"/>
  <c r="D170" i="15" s="1"/>
  <c r="D171" i="15" a="1"/>
  <c r="D171" i="15" s="1"/>
  <c r="D172" i="15" a="1"/>
  <c r="D172" i="15" s="1"/>
  <c r="D173" i="15" a="1"/>
  <c r="D173" i="15" s="1"/>
  <c r="D174" i="15" a="1"/>
  <c r="D174" i="15" s="1"/>
  <c r="D175" i="15" a="1"/>
  <c r="D175" i="15" s="1"/>
  <c r="D176" i="15" a="1"/>
  <c r="D176" i="15" s="1"/>
  <c r="D177" i="15" a="1"/>
  <c r="D177" i="15" s="1"/>
  <c r="D178" i="15" a="1"/>
  <c r="D178" i="15" s="1"/>
  <c r="D179" i="15" a="1"/>
  <c r="D179" i="15" s="1"/>
  <c r="D180" i="15" a="1"/>
  <c r="D180" i="15" s="1"/>
  <c r="D181" i="15" a="1"/>
  <c r="D181" i="15" s="1"/>
  <c r="D182" i="15" a="1"/>
  <c r="D182" i="15" s="1"/>
  <c r="D183" i="15" a="1"/>
  <c r="D183" i="15" s="1"/>
  <c r="D184" i="15" a="1"/>
  <c r="D184" i="15" s="1"/>
  <c r="D185" i="15" a="1"/>
  <c r="D185" i="15" s="1"/>
  <c r="D186" i="15" a="1"/>
  <c r="D186" i="15" s="1"/>
  <c r="D187" i="15" a="1"/>
  <c r="D187" i="15" s="1"/>
  <c r="D188" i="15" a="1"/>
  <c r="D188" i="15" s="1"/>
  <c r="D189" i="15" a="1"/>
  <c r="D189" i="15" s="1"/>
  <c r="D190" i="15" a="1"/>
  <c r="D190" i="15" s="1"/>
  <c r="D191" i="15" a="1"/>
  <c r="D191" i="15" s="1"/>
  <c r="D192" i="15" a="1"/>
  <c r="D192" i="15" s="1"/>
  <c r="D193" i="15" a="1"/>
  <c r="D193" i="15" s="1"/>
  <c r="D194" i="15" a="1"/>
  <c r="D194" i="15" s="1"/>
  <c r="D195" i="15" a="1"/>
  <c r="D195" i="15" s="1"/>
  <c r="D196" i="15" a="1"/>
  <c r="D196" i="15" s="1"/>
  <c r="D197" i="15" a="1"/>
  <c r="D197" i="15" s="1"/>
  <c r="D198" i="15" a="1"/>
  <c r="D198" i="15" s="1"/>
  <c r="D199" i="15" a="1"/>
  <c r="D199" i="15" s="1"/>
  <c r="D200" i="15" a="1"/>
  <c r="D200" i="15" s="1"/>
  <c r="D201" i="15" a="1"/>
  <c r="D201" i="15" s="1"/>
  <c r="D7" i="7" a="1"/>
  <c r="D7" i="7" s="1"/>
  <c r="D4" i="7"/>
  <c r="N14" i="14"/>
  <c r="N13" i="14"/>
  <c r="N12" i="14"/>
  <c r="N11" i="14"/>
  <c r="N10" i="14"/>
  <c r="N9" i="14"/>
  <c r="N8" i="14"/>
  <c r="N7" i="14"/>
  <c r="N6" i="14"/>
  <c r="N5" i="14"/>
  <c r="N4" i="14"/>
  <c r="N3" i="1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<sst xmlns="http://schemas.openxmlformats.org/spreadsheetml/2006/main" count="2179" uniqueCount="140">
  <si>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</si>
  <si>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</si>
  <si>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</si>
  <si>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</si>
  <si>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</si>
  <si>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</si>
  <si>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</si>
  <si>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</si>
  <si>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</si>
  <si>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</si>
  <si>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</si>
  <si>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</si>
  <si>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</si>
  <si>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</si>
  <si>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</si>
  <si>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</si>
  <si>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</si>
  <si>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</si>
  <si>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</si>
  <si>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</si>
  <si>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</si>
  <si>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</si>
  <si>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</si>
  <si>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</si>
  <si>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</si>
  <si>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</si>
  <si>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</si>
  <si>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</si>
  <si>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</si>
  <si>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</si>
  <si>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</si>
  <si>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</si>
  <si>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</si>
  <si>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</si>
  <si>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</si>
  <si>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</si>
  <si>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</si>
  <si>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</si>
  <si>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</si>
  <si>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</si>
  <si>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</si>
  <si>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</si>
  <si>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</si>
  <si>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</si>
  <si>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</si>
  <si>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</si>
  <si>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</si>
  <si>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</si>
  <si>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</si>
  <si>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</si>
  <si>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</si>
  <si>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</si>
  <si>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</si>
  <si>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</si>
  <si>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</si>
  <si>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</si>
  <si>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</si>
  <si>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</si>
  <si>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</si>
  <si>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</si>
  <si>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</si>
  <si>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</si>
  <si>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</si>
  <si>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</si>
  <si>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</si>
  <si>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</si>
  <si>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</si>
  <si>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</si>
  <si>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</si>
  <si>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</si>
  <si>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</si>
  <si>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</si>
  <si>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</si>
  <si>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</si>
  <si>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</si>
  <si>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</si>
  <si>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</si>
  <si>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Grand Total</t>
  </si>
  <si>
    <t>Sum of Sales</t>
  </si>
  <si>
    <t>SUMMARY OUTPUT</t>
  </si>
  <si>
    <t>Regression Statistics</t>
  </si>
  <si>
    <t>Multiple R</t>
  </si>
  <si>
    <t>R Square</t>
  </si>
  <si>
    <t>Adjusted R Square</t>
  </si>
  <si>
    <t>Standard Error</t>
  </si>
  <si>
    <t>Observations</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</si>
  <si>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</si>
  <si>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</si>
  <si>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</si>
  <si>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</si>
  <si>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</si>
  <si>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</si>
  <si>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</si>
  <si>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</si>
  <si>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</si>
  <si>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</si>
  <si>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</si>
  <si>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</si>
  <si>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</si>
  <si>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</si>
  <si>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</si>
  <si>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</si>
  <si>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</si>
  <si>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</si>
  <si>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331.55</t>
  </si>
  <si>
    <t>Residuals</t>
  </si>
  <si>
    <t>FILTER</t>
  </si>
  <si>
    <t>INDEX+MATCH</t>
  </si>
  <si>
    <t>TOP 5 COSTOMERS</t>
  </si>
  <si>
    <t>Column Labels</t>
  </si>
  <si>
    <t>Sum of Profit</t>
  </si>
  <si>
    <t>timestamp</t>
  </si>
  <si>
    <t>Mean</t>
  </si>
  <si>
    <t>Median</t>
  </si>
  <si>
    <t>Standard Deviation</t>
  </si>
  <si>
    <t>Sample Variance</t>
  </si>
  <si>
    <t>Kurtosis</t>
  </si>
  <si>
    <t>Skewness</t>
  </si>
  <si>
    <t>Range</t>
  </si>
  <si>
    <t>Minimum</t>
  </si>
  <si>
    <t>Maximum</t>
  </si>
  <si>
    <t>Sum</t>
  </si>
  <si>
    <t>Count</t>
  </si>
  <si>
    <t>Descriptive Statistics</t>
  </si>
  <si>
    <t xml:space="preserve">discount </t>
  </si>
  <si>
    <t>total profit</t>
  </si>
  <si>
    <t>month</t>
  </si>
  <si>
    <t>Jan</t>
  </si>
  <si>
    <t>Feb</t>
  </si>
  <si>
    <t>Mar</t>
  </si>
  <si>
    <t>Apr</t>
  </si>
  <si>
    <t>May</t>
  </si>
  <si>
    <t>Jun</t>
  </si>
  <si>
    <t>Jul</t>
  </si>
  <si>
    <t>Aug</t>
  </si>
  <si>
    <t>Sep</t>
  </si>
  <si>
    <t>Oct</t>
  </si>
  <si>
    <t>Nov</t>
  </si>
  <si>
    <t>Dec</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</si>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</sst>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0]\ #,##0.00"/>
  </numFmts>
  <fonts count="7" x14ac:knownFonts="1">
    <font>
      <sz val="11"/>
      <color theme="1"/>
      <name val="Aptos Narrow"/>
      <family val="2"/>
      <scheme val="minor"/>
    </font>
    <font>
      <b/>
      <sz val="11"/>
      <color theme="1"/>
      <name val="Calibri"/>
      <family val="2"/>
    </font>
    <font>
      <sz val="11"/>
      <color theme="1"/>
      <name val="Calibri"/>
      <family val="2"/>
    </font>
    <font>
      <b/>
      <sz val="11"/>
      <color theme="0"/>
      <name val="Aptos Narrow"/>
      <family val="2"/>
      <scheme val="minor"/>
    </font>
    <font>
      <b/>
      <sz val="11"/>
      <color theme="1"/>
      <name val="Aptos Narrow"/>
      <family val="2"/>
      <scheme val="minor"/>
    </font>
    <font>
      <b/>
      <sz val="11"/>
      <color theme="0"/>
      <name val="Calibri"/>
      <family val="2"/>
    </font>
    <font>
      <i/>
      <sz val="11"/>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s>
  <cellStyleXfs count="1">
    <xf numFmtId="0" fontId="0" fillId="0" borderId="0"/>
  </cellStyleXfs>
  <cellXfs count="42">
    <xf numFmtId="0" fontId="0" fillId="0" borderId="0" xfId="0"/>
    <xf numFmtId="0" fontId="2" fillId="0" borderId="1" xfId="0" applyFont="1" applyBorder="1" applyAlignment="1">
      <alignment wrapText="1"/>
    </xf>
    <xf numFmtId="0" fontId="2" fillId="0" borderId="1" xfId="0" applyFont="1" applyBorder="1" applyAlignment="1">
      <alignment horizontal="right" wrapText="1"/>
    </xf>
    <xf numFmtId="14" fontId="2" fillId="0" borderId="1" xfId="0" applyNumberFormat="1" applyFont="1" applyBorder="1" applyAlignment="1">
      <alignment horizontal="right" wrapText="1"/>
    </xf>
    <xf numFmtId="0" fontId="2" fillId="0" borderId="2" xfId="0" applyFont="1" applyBorder="1" applyAlignment="1">
      <alignment wrapText="1"/>
    </xf>
    <xf numFmtId="0" fontId="2" fillId="0" borderId="3" xfId="0" applyFont="1" applyBorder="1" applyAlignment="1">
      <alignment horizontal="righ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0" borderId="8" xfId="0" applyFont="1" applyBorder="1" applyAlignment="1">
      <alignment horizontal="right" wrapText="1"/>
    </xf>
    <xf numFmtId="14" fontId="2" fillId="0" borderId="8" xfId="0" applyNumberFormat="1" applyFont="1" applyBorder="1" applyAlignment="1">
      <alignment horizontal="right" wrapText="1"/>
    </xf>
    <xf numFmtId="0" fontId="2" fillId="0" borderId="9" xfId="0" applyFont="1"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2" fillId="3" borderId="1" xfId="0" applyFont="1" applyFill="1" applyBorder="1" applyAlignment="1">
      <alignment horizontal="right" wrapText="1"/>
    </xf>
    <xf numFmtId="0" fontId="0" fillId="0" borderId="0" xfId="0" applyFill="1" applyBorder="1" applyAlignment="1"/>
    <xf numFmtId="0" fontId="0" fillId="0" borderId="11" xfId="0" applyFill="1" applyBorder="1" applyAlignment="1"/>
    <xf numFmtId="0" fontId="6" fillId="0" borderId="12" xfId="0" applyFont="1" applyFill="1" applyBorder="1" applyAlignment="1">
      <alignment horizontal="center"/>
    </xf>
    <xf numFmtId="0" fontId="0" fillId="0" borderId="13" xfId="0" applyBorder="1"/>
    <xf numFmtId="164" fontId="0" fillId="0" borderId="0" xfId="0" applyNumberFormat="1"/>
    <xf numFmtId="14" fontId="2" fillId="3" borderId="1" xfId="0" applyNumberFormat="1" applyFont="1" applyFill="1" applyBorder="1" applyAlignment="1">
      <alignment horizontal="right" wrapText="1"/>
    </xf>
    <xf numFmtId="0" fontId="5" fillId="2" borderId="1" xfId="0" applyFont="1" applyFill="1" applyBorder="1" applyAlignment="1">
      <alignment wrapText="1"/>
    </xf>
    <xf numFmtId="0" fontId="2" fillId="3" borderId="1" xfId="0" applyFont="1" applyFill="1" applyBorder="1" applyAlignment="1">
      <alignment wrapText="1"/>
    </xf>
    <xf numFmtId="0" fontId="5" fillId="2" borderId="1" xfId="0" applyFont="1" applyFill="1" applyBorder="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5" fillId="2" borderId="2" xfId="0" applyFont="1" applyFill="1" applyBorder="1" applyAlignment="1">
      <alignment horizontal="center" vertical="center" wrapText="1"/>
    </xf>
    <xf numFmtId="0" fontId="2" fillId="3" borderId="2" xfId="0" applyFont="1" applyFill="1" applyBorder="1" applyAlignment="1">
      <alignment wrapText="1"/>
    </xf>
    <xf numFmtId="0" fontId="0" fillId="0" borderId="13" xfId="0" applyFill="1" applyBorder="1" applyAlignment="1"/>
    <xf numFmtId="0" fontId="1" fillId="0" borderId="1" xfId="0" applyFont="1" applyBorder="1" applyAlignment="1">
      <alignment wrapText="1"/>
    </xf>
    <xf numFmtId="0" fontId="1" fillId="0" borderId="10" xfId="0" applyFont="1" applyFill="1" applyBorder="1" applyAlignment="1">
      <alignment wrapText="1"/>
    </xf>
    <xf numFmtId="0" fontId="1" fillId="0" borderId="14" xfId="0" applyFont="1" applyFill="1" applyBorder="1" applyAlignment="1">
      <alignment wrapText="1"/>
    </xf>
    <xf numFmtId="0" fontId="1" fillId="0" borderId="2" xfId="0" applyFont="1" applyBorder="1" applyAlignment="1">
      <alignment wrapText="1"/>
    </xf>
    <xf numFmtId="0" fontId="4" fillId="4" borderId="0" xfId="0" applyFont="1" applyFill="1"/>
    <xf numFmtId="0" fontId="3" fillId="5" borderId="0" xfId="0" applyFont="1" applyFill="1"/>
    <xf numFmtId="0" fontId="6" fillId="4" borderId="12" xfId="0" applyFont="1" applyFill="1" applyBorder="1" applyAlignment="1">
      <alignment horizontal="centerContinuous"/>
    </xf>
    <xf numFmtId="0" fontId="6" fillId="4" borderId="13" xfId="0" applyFont="1" applyFill="1" applyBorder="1" applyAlignment="1">
      <alignment horizontal="centerContinuous"/>
    </xf>
    <xf numFmtId="0" fontId="6" fillId="4" borderId="13" xfId="0" applyFont="1" applyFill="1" applyBorder="1" applyAlignment="1">
      <alignment horizontal="center"/>
    </xf>
  </cellXfs>
  <cellStyles count="1">
    <cellStyle name="Normal" xfId="0" builtinId="0"/>
  </cellStyles>
  <dxfs count="32">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border>
    </dxf>
    <dxf>
      <numFmt numFmtId="19" formatCode="m/d/yyyy"/>
    </dxf>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family val="2"/>
        <scheme val="none"/>
      </font>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[2.xlsx]9!p2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solidFill>
                  <a:schemeClr val="tx1"/>
                </a:solidFill>
              </a:rPr>
              <a:t>PRODUCT VS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'9'!$A$2:$A$7</c:f>
              <c:strCache>
                <c:ptCount val="5"/>
                <c:pt idx="0">
                  <c:v>Books</c:v>
                </c:pt>
                <c:pt idx="1">
                  <c:v>Clothing</c:v>
                </c:pt>
                <c:pt idx="2">
                  <c:v>Electronics</c:v>
                </c:pt>
                <c:pt idx="3">
                  <c:v>Furniture</c:v>
                </c:pt>
                <c:pt idx="4">
                  <c:v>Office Supplies</c:v>
                </c:pt>
              </c:strCache>
            </c:strRef>
          </c:cat>
          <c:val>
            <c:numRef>
              <c:f>'9'!$B$2:$B$7</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9CF6-4B84-9587-6D83872E756F}"/>
            </c:ext>
          </c:extLst>
        </c:ser>
        <c:dLbls>
          <c:dLblPos val="outEnd"/>
          <c:showLegendKey val="0"/>
          <c:showVal val="1"/>
          <c:showCatName val="0"/>
          <c:showSerName val="0"/>
          <c:showPercent val="0"/>
          <c:showBubbleSize val="0"/>
        </c:dLbls>
        <c:gapWidth val="100"/>
        <c:overlap val="-24"/>
        <c:axId val="1715930255"/>
        <c:axId val="1715946575"/>
      </c:barChart>
      <c:catAx>
        <c:axId val="1715930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946575"/>
        <c:crosses val="autoZero"/>
        <c:auto val="1"/>
        <c:lblAlgn val="ctr"/>
        <c:lblOffset val="100"/>
        <c:noMultiLvlLbl val="0"/>
      </c:catAx>
      <c:valAx>
        <c:axId val="1715946575"/>
        <c:scaling>
          <c:orientation val="minMax"/>
        </c:scaling>
        <c:delete val="1"/>
        <c:axPos val="l"/>
        <c:numFmt formatCode="General" sourceLinked="1"/>
        <c:majorTickMark val="none"/>
        <c:minorTickMark val="none"/>
        <c:tickLblPos val="nextTo"/>
        <c:crossAx val="17159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[2.xlsx]9!PivotTable9</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chemeClr val="tx1"/>
                </a:solidFill>
                <a:latin typeface="+mn-lt"/>
              </a:rPr>
              <a:t>product</a:t>
            </a:r>
            <a:r>
              <a:rPr lang="en-US" baseline="0">
                <a:solidFill>
                  <a:schemeClr val="tx1"/>
                </a:solidFill>
                <a:latin typeface="+mn-lt"/>
              </a:rPr>
              <a:t> vs profit</a:t>
            </a:r>
            <a:endParaRPr lang="en-US">
              <a:solidFill>
                <a:schemeClr val="tx1"/>
              </a:solidFill>
              <a:latin typeface="+mn-lt"/>
            </a:endParaRPr>
          </a:p>
        </c:rich>
      </c:tx>
      <c:layout>
        <c:manualLayout>
          <c:xMode val="edge"/>
          <c:yMode val="edge"/>
          <c:x val="0.32966688666830146"/>
          <c:y val="1.644961237632568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'9'!$B$13</c:f>
              <c:strCache>
                <c:ptCount val="1"/>
                <c:pt idx="0">
                  <c:v>Total</c:v>
                </c:pt>
              </c:strCache>
            </c:strRef>
          </c:tx>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2DB-4FF2-BF57-4AD74FDA132B}"/>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2DB-4FF2-BF57-4AD74FDA132B}"/>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2DB-4FF2-BF57-4AD74FDA132B}"/>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2DB-4FF2-BF57-4AD74FDA132B}"/>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82DB-4FF2-BF57-4AD74FDA132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'9'!$A$14:$A$19</c:f>
              <c:strCache>
                <c:ptCount val="5"/>
                <c:pt idx="0">
                  <c:v>Books</c:v>
                </c:pt>
                <c:pt idx="1">
                  <c:v>Clothing</c:v>
                </c:pt>
                <c:pt idx="2">
                  <c:v>Electronics</c:v>
                </c:pt>
                <c:pt idx="3">
                  <c:v>Furniture</c:v>
                </c:pt>
                <c:pt idx="4">
                  <c:v>Office Supplies</c:v>
                </c:pt>
              </c:strCache>
            </c:strRef>
          </c:cat>
          <c:val>
            <c:numRef>
              <c:f>'9'!$B$14:$B$19</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82DB-4FF2-BF57-4AD74FDA132B}"/>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[2.xlsx]9!PivotTable8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REGION</a:t>
            </a:r>
            <a:r>
              <a:rPr lang="en-US" sz="1600" b="1" baseline="0">
                <a:solidFill>
                  <a:schemeClr val="tx1"/>
                </a:solidFill>
              </a:rPr>
              <a:t> VS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'9'!$B$27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'9'!$A$28:$A$33</c:f>
              <c:strCache>
                <c:ptCount val="5"/>
                <c:pt idx="0">
                  <c:v>Central</c:v>
                </c:pt>
                <c:pt idx="1">
                  <c:v>East</c:v>
                </c:pt>
                <c:pt idx="2">
                  <c:v>North</c:v>
                </c:pt>
                <c:pt idx="3">
                  <c:v>South</c:v>
                </c:pt>
                <c:pt idx="4">
                  <c:v>West</c:v>
                </c:pt>
              </c:strCache>
            </c:strRef>
          </c:cat>
          <c:val>
            <c:numRef>
              <c:f>'9'!$B$28:$B$33</c:f>
              <c:numCache>
                <c:formatCode>General</c:formatCode>
                <c:ptCount val="5"/>
                <c:pt idx="0">
                  <c:v>43468.33</c:v>
                </c:pt>
                <c:pt idx="1">
                  <c:v>32441.64</c:v>
                </c:pt>
                <c:pt idx="2">
                  <c:v>34975.42</c:v>
                </c:pt>
                <c:pt idx="3">
                  <c:v>40248.79</c:v>
                </c:pt>
                <c:pt idx="4">
                  <c:v>44083.58</c:v>
                </c:pt>
              </c:numCache>
            </c:numRef>
          </c:val>
          <c:smooth val="0"/>
          <c:extLst>
            <c:ext xmlns:c16="http://schemas.microsoft.com/office/drawing/2014/chart" uri="{C3380CC4-5D6E-409C-BE32-E72D297353CC}">
              <c16:uniqueId val="{00000000-2A3C-40C6-A638-32310B46F5AA}"/>
            </c:ext>
          </c:extLst>
        </c:ser>
        <c:dLbls>
          <c:showLegendKey val="0"/>
          <c:showVal val="0"/>
          <c:showCatName val="0"/>
          <c:showSerName val="0"/>
          <c:showPercent val="0"/>
          <c:showBubbleSize val="0"/>
        </c:dLbls>
        <c:marker val="1"/>
        <c:smooth val="0"/>
        <c:axId val="399901887"/>
        <c:axId val="399901407"/>
      </c:lineChart>
      <c:catAx>
        <c:axId val="39990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901407"/>
        <c:crosses val="autoZero"/>
        <c:auto val="1"/>
        <c:lblAlgn val="ctr"/>
        <c:lblOffset val="100"/>
        <c:noMultiLvlLbl val="0"/>
      </c:catAx>
      <c:valAx>
        <c:axId val="399901407"/>
        <c:scaling>
          <c:orientation val="minMax"/>
        </c:scaling>
        <c:delete val="1"/>
        <c:axPos val="l"/>
        <c:numFmt formatCode="General" sourceLinked="1"/>
        <c:majorTickMark val="none"/>
        <c:minorTickMark val="none"/>
        <c:tickLblPos val="nextTo"/>
        <c:crossAx val="39990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[2.xlsx]9!p2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solidFill>
                  <a:schemeClr val="tx1"/>
                </a:solidFill>
              </a:rPr>
              <a:t>PRODUCT VS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'9'!$A$2:$A$7</c:f>
              <c:strCache>
                <c:ptCount val="5"/>
                <c:pt idx="0">
                  <c:v>Books</c:v>
                </c:pt>
                <c:pt idx="1">
                  <c:v>Clothing</c:v>
                </c:pt>
                <c:pt idx="2">
                  <c:v>Electronics</c:v>
                </c:pt>
                <c:pt idx="3">
                  <c:v>Furniture</c:v>
                </c:pt>
                <c:pt idx="4">
                  <c:v>Office Supplies</c:v>
                </c:pt>
              </c:strCache>
            </c:strRef>
          </c:cat>
          <c:val>
            <c:numRef>
              <c:f>'9'!$B$2:$B$7</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5D87-450B-8B05-6BD22B29E31C}"/>
            </c:ext>
          </c:extLst>
        </c:ser>
        <c:dLbls>
          <c:dLblPos val="outEnd"/>
          <c:showLegendKey val="0"/>
          <c:showVal val="1"/>
          <c:showCatName val="0"/>
          <c:showSerName val="0"/>
          <c:showPercent val="0"/>
          <c:showBubbleSize val="0"/>
        </c:dLbls>
        <c:gapWidth val="100"/>
        <c:overlap val="-24"/>
        <c:axId val="1715930255"/>
        <c:axId val="1715946575"/>
      </c:barChart>
      <c:catAx>
        <c:axId val="1715930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946575"/>
        <c:crosses val="autoZero"/>
        <c:auto val="1"/>
        <c:lblAlgn val="ctr"/>
        <c:lblOffset val="100"/>
        <c:noMultiLvlLbl val="0"/>
      </c:catAx>
      <c:valAx>
        <c:axId val="1715946575"/>
        <c:scaling>
          <c:orientation val="minMax"/>
        </c:scaling>
        <c:delete val="1"/>
        <c:axPos val="l"/>
        <c:numFmt formatCode="General" sourceLinked="1"/>
        <c:majorTickMark val="none"/>
        <c:minorTickMark val="none"/>
        <c:tickLblPos val="nextTo"/>
        <c:crossAx val="17159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[2.xlsx]9!PivotTable9</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chemeClr val="tx1"/>
                </a:solidFill>
                <a:latin typeface="+mn-lt"/>
              </a:rPr>
              <a:t>product</a:t>
            </a:r>
            <a:r>
              <a:rPr lang="en-US" baseline="0">
                <a:solidFill>
                  <a:schemeClr val="tx1"/>
                </a:solidFill>
                <a:latin typeface="+mn-lt"/>
              </a:rPr>
              <a:t> vs profit</a:t>
            </a:r>
            <a:endParaRPr lang="en-US">
              <a:solidFill>
                <a:schemeClr val="tx1"/>
              </a:solidFill>
              <a:latin typeface="+mn-lt"/>
            </a:endParaRPr>
          </a:p>
        </c:rich>
      </c:tx>
      <c:layout>
        <c:manualLayout>
          <c:xMode val="edge"/>
          <c:yMode val="edge"/>
          <c:x val="0.32966688666830146"/>
          <c:y val="1.644961237632568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'9'!$B$13</c:f>
              <c:strCache>
                <c:ptCount val="1"/>
                <c:pt idx="0">
                  <c:v>Total</c:v>
                </c:pt>
              </c:strCache>
            </c:strRef>
          </c:tx>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691-4BC5-ADE6-D88B58B3B20B}"/>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691-4BC5-ADE6-D88B58B3B20B}"/>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691-4BC5-ADE6-D88B58B3B20B}"/>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691-4BC5-ADE6-D88B58B3B20B}"/>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691-4BC5-ADE6-D88B58B3B20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A691-4BC5-ADE6-D88B58B3B20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A691-4BC5-ADE6-D88B58B3B20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A691-4BC5-ADE6-D88B58B3B20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A691-4BC5-ADE6-D88B58B3B20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9-A691-4BC5-ADE6-D88B58B3B2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'9'!$A$14:$A$19</c:f>
              <c:strCache>
                <c:ptCount val="5"/>
                <c:pt idx="0">
                  <c:v>Books</c:v>
                </c:pt>
                <c:pt idx="1">
                  <c:v>Clothing</c:v>
                </c:pt>
                <c:pt idx="2">
                  <c:v>Electronics</c:v>
                </c:pt>
                <c:pt idx="3">
                  <c:v>Furniture</c:v>
                </c:pt>
                <c:pt idx="4">
                  <c:v>Office Supplies</c:v>
                </c:pt>
              </c:strCache>
            </c:strRef>
          </c:cat>
          <c:val>
            <c:numRef>
              <c:f>'9'!$B$14:$B$19</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A-A691-4BC5-ADE6-D88B58B3B20B}"/>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[2.xlsx]9!PivotTable8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REGION</a:t>
            </a:r>
            <a:r>
              <a:rPr lang="en-US" sz="1600" b="1" baseline="0">
                <a:solidFill>
                  <a:schemeClr val="tx1"/>
                </a:solidFill>
              </a:rPr>
              <a:t> VS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'9'!$B$27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'9'!$A$28:$A$33</c:f>
              <c:strCache>
                <c:ptCount val="5"/>
                <c:pt idx="0">
                  <c:v>Central</c:v>
                </c:pt>
                <c:pt idx="1">
                  <c:v>East</c:v>
                </c:pt>
                <c:pt idx="2">
                  <c:v>North</c:v>
                </c:pt>
                <c:pt idx="3">
                  <c:v>South</c:v>
                </c:pt>
                <c:pt idx="4">
                  <c:v>West</c:v>
                </c:pt>
              </c:strCache>
            </c:strRef>
          </c:cat>
          <c:val>
            <c:numRef>
              <c:f>'9'!$B$28:$B$33</c:f>
              <c:numCache>
                <c:formatCode>General</c:formatCode>
                <c:ptCount val="5"/>
                <c:pt idx="0">
                  <c:v>43468.33</c:v>
                </c:pt>
                <c:pt idx="1">
                  <c:v>32441.64</c:v>
                </c:pt>
                <c:pt idx="2">
                  <c:v>34975.42</c:v>
                </c:pt>
                <c:pt idx="3">
                  <c:v>40248.79</c:v>
                </c:pt>
                <c:pt idx="4">
                  <c:v>44083.58</c:v>
                </c:pt>
              </c:numCache>
            </c:numRef>
          </c:val>
          <c:smooth val="0"/>
          <c:extLst>
            <c:ext xmlns:c16="http://schemas.microsoft.com/office/drawing/2014/chart" uri="{C3380CC4-5D6E-409C-BE32-E72D297353CC}">
              <c16:uniqueId val="{00000000-A85F-427F-A35A-A1FA01C9F0B9}"/>
            </c:ext>
          </c:extLst>
        </c:ser>
        <c:dLbls>
          <c:showLegendKey val="0"/>
          <c:showVal val="0"/>
          <c:showCatName val="0"/>
          <c:showSerName val="0"/>
          <c:showPercent val="0"/>
          <c:showBubbleSize val="0"/>
        </c:dLbls>
        <c:marker val="1"/>
        <c:smooth val="0"/>
        <c:axId val="399901887"/>
        <c:axId val="399901407"/>
      </c:lineChart>
      <c:catAx>
        <c:axId val="39990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901407"/>
        <c:crosses val="autoZero"/>
        <c:auto val="1"/>
        <c:lblAlgn val="ctr"/>
        <c:lblOffset val="100"/>
        <c:noMultiLvlLbl val="0"/>
      </c:catAx>
      <c:valAx>
        <c:axId val="399901407"/>
        <c:scaling>
          <c:orientation val="minMax"/>
        </c:scaling>
        <c:delete val="1"/>
        <c:axPos val="l"/>
        <c:numFmt formatCode="General" sourceLinked="1"/>
        <c:majorTickMark val="none"/>
        <c:minorTickMark val="none"/>
        <c:tickLblPos val="nextTo"/>
        <c:crossAx val="39990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171450</xdr:rowOff>
    </xdr:from>
    <xdr:to>
      <xdr:col>1</xdr:col>
      <xdr:colOff>958850</xdr:colOff>
      <xdr:row>21</xdr:row>
      <xdr:rowOff>25400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1916D6D0-0156-5D12-4AF3-81CE3DA852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2950"/>
              <a:ext cx="1828800" cy="187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127000</xdr:colOff>
      <xdr:row>11</xdr:row>
      <xdr:rowOff>6350</xdr:rowOff>
    </xdr:from>
    <xdr:to>
      <xdr:col>4</xdr:col>
      <xdr:colOff>520700</xdr:colOff>
      <xdr:row>20</xdr:row>
      <xdr:rowOff>177800</xdr:rowOff>
    </xdr:to>
    <mc:AlternateContent xmlns:mc="http://schemas.openxmlformats.org/markup-compatibility/2006">
      <mc:Choice xmlns:a14="http://schemas.microsoft.com/office/drawing/2010/main" Requires="a14">
        <xdr:graphicFrame macro="">
          <xdr:nvGraphicFramePr>
            <xdr:cNvPr id="3" name="Product_Category">
              <a:extLst>
                <a:ext uri="{FF2B5EF4-FFF2-40B4-BE49-F238E27FC236}">
                  <a16:creationId xmlns:a16="http://schemas.microsoft.com/office/drawing/2014/main" id="{B5A4F0CC-FAC4-3148-AED6-234C34B6C7D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2089150" y="203200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0</xdr:row>
      <xdr:rowOff>0</xdr:rowOff>
    </xdr:from>
    <xdr:to>
      <xdr:col>10</xdr:col>
      <xdr:colOff>314325</xdr:colOff>
      <xdr:row>9</xdr:row>
      <xdr:rowOff>165100</xdr:rowOff>
    </xdr:to>
    <xdr:graphicFrame macro="">
      <xdr:nvGraphicFramePr>
        <xdr:cNvPr id="2" name="Chart 1">
          <a:extLst>
            <a:ext uri="{FF2B5EF4-FFF2-40B4-BE49-F238E27FC236}">
              <a16:creationId xmlns:a16="http://schemas.microsoft.com/office/drawing/2014/main" id="{349A1352-6879-0129-4444-32BA74880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12</xdr:row>
      <xdr:rowOff>19050</xdr:rowOff>
    </xdr:from>
    <xdr:to>
      <xdr:col>10</xdr:col>
      <xdr:colOff>263585</xdr:colOff>
      <xdr:row>24</xdr:row>
      <xdr:rowOff>107830</xdr:rowOff>
    </xdr:to>
    <xdr:graphicFrame macro="">
      <xdr:nvGraphicFramePr>
        <xdr:cNvPr id="3" name="Chart 2">
          <a:extLst>
            <a:ext uri="{FF2B5EF4-FFF2-40B4-BE49-F238E27FC236}">
              <a16:creationId xmlns:a16="http://schemas.microsoft.com/office/drawing/2014/main" id="{C32F7433-2B2B-12C9-B5CE-B99790822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30580</xdr:colOff>
      <xdr:row>26</xdr:row>
      <xdr:rowOff>4630</xdr:rowOff>
    </xdr:from>
    <xdr:to>
      <xdr:col>10</xdr:col>
      <xdr:colOff>367852</xdr:colOff>
      <xdr:row>40</xdr:row>
      <xdr:rowOff>150364</xdr:rowOff>
    </xdr:to>
    <xdr:graphicFrame macro="">
      <xdr:nvGraphicFramePr>
        <xdr:cNvPr id="4" name="Chart 3">
          <a:extLst>
            <a:ext uri="{FF2B5EF4-FFF2-40B4-BE49-F238E27FC236}">
              <a16:creationId xmlns:a16="http://schemas.microsoft.com/office/drawing/2014/main" id="{0063D3FD-F9B8-4208-430B-8EF11978D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602712</xdr:colOff>
      <xdr:row>5</xdr:row>
      <xdr:rowOff>0</xdr:rowOff>
    </xdr:from>
    <xdr:to>
      <xdr:col>8</xdr:col>
      <xdr:colOff>329806</xdr:colOff>
      <xdr:row>15</xdr:row>
      <xdr:rowOff>24613</xdr:rowOff>
    </xdr:to>
    <xdr:graphicFrame macro="">
      <xdr:nvGraphicFramePr>
        <xdr:cNvPr id="2" name="p1">
          <a:extLst>
            <a:ext uri="{FF2B5EF4-FFF2-40B4-BE49-F238E27FC236}">
              <a16:creationId xmlns:a16="http://schemas.microsoft.com/office/drawing/2014/main" id="{6D1BB9C2-87A0-4CBA-91A2-1AF99BC6A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579516</xdr:colOff>
      <xdr:row>16</xdr:row>
      <xdr:rowOff>9844</xdr:rowOff>
    </xdr:from>
    <xdr:to>
      <xdr:col>16</xdr:col>
      <xdr:colOff>268311</xdr:colOff>
      <xdr:row>31</xdr:row>
      <xdr:rowOff>12329</xdr:rowOff>
    </xdr:to>
    <xdr:graphicFrame macro="">
      <xdr:nvGraphicFramePr>
        <xdr:cNvPr id="3" name="Chart 2">
          <a:extLst>
            <a:ext uri="{FF2B5EF4-FFF2-40B4-BE49-F238E27FC236}">
              <a16:creationId xmlns:a16="http://schemas.microsoft.com/office/drawing/2014/main" id="{C1642EC0-7343-4D42-928D-B1AB8DC9B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16</xdr:row>
      <xdr:rowOff>10763</xdr:rowOff>
    </xdr:from>
    <xdr:to>
      <xdr:col>8</xdr:col>
      <xdr:colOff>340759</xdr:colOff>
      <xdr:row>31</xdr:row>
      <xdr:rowOff>10136</xdr:rowOff>
    </xdr:to>
    <xdr:graphicFrame macro="">
      <xdr:nvGraphicFramePr>
        <xdr:cNvPr id="4" name="Chart 3">
          <a:extLst>
            <a:ext uri="{FF2B5EF4-FFF2-40B4-BE49-F238E27FC236}">
              <a16:creationId xmlns:a16="http://schemas.microsoft.com/office/drawing/2014/main" id="{798B3CE4-4D73-4C5D-9379-7801AF07B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576384</xdr:colOff>
      <xdr:row>4</xdr:row>
      <xdr:rowOff>175847</xdr:rowOff>
    </xdr:from>
    <xdr:to>
      <xdr:col>16</xdr:col>
      <xdr:colOff>257257</xdr:colOff>
      <xdr:row>15</xdr:row>
      <xdr:rowOff>22792</xdr:rowOff>
    </xdr:to>
    <mc:AlternateContent xmlns:mc="http://schemas.openxmlformats.org/markup-compatibility/2006">
      <mc:Choice xmlns:a14="http://schemas.microsoft.com/office/drawing/2010/main" Requires="a14">
        <xdr:graphicFrame macro="">
          <xdr:nvGraphicFramePr>
            <xdr:cNvPr id="5" name="Customer_Name">
              <a:extLst>
                <a:ext uri="{FF2B5EF4-FFF2-40B4-BE49-F238E27FC236}">
                  <a16:creationId xmlns:a16="http://schemas.microsoft.com/office/drawing/2014/main" id="{789FB199-4DD7-0C86-32E1-A6E854C487AC}"/>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5444717" y="916680"/>
              <a:ext cx="4549207" cy="1884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608313</xdr:colOff>
      <xdr:row>0</xdr:row>
      <xdr:rowOff>24191</xdr:rowOff>
    </xdr:from>
    <xdr:ext cx="3320461" cy="937693"/>
    <xdr:sp macro="" textlink="">
      <xdr:nvSpPr>
        <xdr:cNvPr id="6" name="Rectangle 5">
          <a:extLst>
            <a:ext uri="{FF2B5EF4-FFF2-40B4-BE49-F238E27FC236}">
              <a16:creationId xmlns:a16="http://schemas.microsoft.com/office/drawing/2014/main" id="{3EEE635C-1AA4-0B1D-B6A6-84A8D92B042F}"/>
            </a:ext>
          </a:extLst>
        </xdr:cNvPr>
        <xdr:cNvSpPr/>
      </xdr:nvSpPr>
      <xdr:spPr>
        <a:xfrm>
          <a:off x="1219123" y="24191"/>
          <a:ext cx="3320461" cy="937693"/>
        </a:xfrm>
        <a:prstGeom prst="rect">
          <a:avLst/>
        </a:prstGeom>
        <a:noFill/>
      </xdr:spPr>
      <xdr:txBody>
        <a:bodyPr wrap="none" lIns="91440" tIns="45720" rIns="91440" bIns="45720">
          <a:spAutoFit/>
        </a:bodyPr>
        <a:lstStyle/>
        <a:p>
          <a:pPr algn="ct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Anghan" refreshedDate="45979.84625185185" createdVersion="8" refreshedVersion="8" minRefreshableVersion="3" recordCount="200" xr:uid="{B9356272-AC69-4CED-A2DC-AE0E118E0F95}">
  <cacheSource type="worksheet">
    <worksheetSource name="data"/>
  </cacheSource>
  <cacheFields count="9">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pivotCacheId="15675932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Anghan" refreshedDate="45979.968327430557" createdVersion="8" refreshedVersion="8" minRefreshableVersion="3" recordCount="200" xr:uid="{9094664E-4C2D-455C-851B-95D119424CFC}">
  <cacheSource type="worksheet">
    <worksheetSource name="Table6"/>
  </cacheSource>
  <cacheFields count="10">
    <cacheField name="Customer_ID" numFmtId="0">
      <sharedItems/>
    </cacheField>
    <cacheField name="Customer_Name" numFmtId="0">
      <sharedItems/>
    </cacheField>
    <cacheField name="Region" numFmtId="0">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month" numFmtId="0">
      <sharedItems count="12">
        <s v="Apr"/>
        <s v="May"/>
        <s v="Jun"/>
        <s v="Jul"/>
        <s v="Aug"/>
        <s v="Sep"/>
        <s v="Oct"/>
        <s v="Nov"/>
        <s v="Dec"/>
        <s v="Jan"/>
        <s v="Feb"/>
        <s v="Ma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1036.0899999999999"/>
    <n v="4"/>
    <n v="0.2"/>
    <d v="2024-04-10T00:00:00"/>
    <n v="331.55"/>
  </r>
  <r>
    <x v="1"/>
    <x v="1"/>
    <x v="0"/>
    <x v="1"/>
    <n v="1101.28"/>
    <n v="3"/>
    <n v="0.2"/>
    <d v="2024-04-11T00:00:00"/>
    <n v="440.51"/>
  </r>
  <r>
    <x v="2"/>
    <x v="2"/>
    <x v="1"/>
    <x v="0"/>
    <n v="713.34"/>
    <n v="17"/>
    <n v="0"/>
    <d v="2024-04-14T00:00:00"/>
    <n v="285.33999999999997"/>
  </r>
  <r>
    <x v="3"/>
    <x v="1"/>
    <x v="2"/>
    <x v="2"/>
    <n v="760.93"/>
    <n v="4"/>
    <n v="0.15"/>
    <d v="2024-04-14T00:00:00"/>
    <n v="161.69999999999999"/>
  </r>
  <r>
    <x v="4"/>
    <x v="3"/>
    <x v="3"/>
    <x v="0"/>
    <n v="847"/>
    <n v="12"/>
    <n v="0.2"/>
    <d v="2024-04-15T00:00:00"/>
    <n v="271.04000000000002"/>
  </r>
  <r>
    <x v="5"/>
    <x v="4"/>
    <x v="3"/>
    <x v="3"/>
    <n v="965.64"/>
    <n v="8"/>
    <n v="0.1"/>
    <d v="2024-04-16T00:00:00"/>
    <n v="304.18"/>
  </r>
  <r>
    <x v="6"/>
    <x v="5"/>
    <x v="0"/>
    <x v="2"/>
    <n v="1317.53"/>
    <n v="12"/>
    <n v="0.05"/>
    <d v="2024-04-16T00:00:00"/>
    <n v="312.91000000000003"/>
  </r>
  <r>
    <x v="7"/>
    <x v="6"/>
    <x v="1"/>
    <x v="3"/>
    <n v="1074.47"/>
    <n v="6"/>
    <n v="0.2"/>
    <d v="2024-04-19T00:00:00"/>
    <n v="300.85000000000002"/>
  </r>
  <r>
    <x v="8"/>
    <x v="7"/>
    <x v="4"/>
    <x v="0"/>
    <n v="501.54"/>
    <n v="11"/>
    <n v="0.05"/>
    <d v="2024-04-19T00:00:00"/>
    <n v="190.59"/>
  </r>
  <r>
    <x v="9"/>
    <x v="8"/>
    <x v="4"/>
    <x v="1"/>
    <n v="737.31"/>
    <n v="2"/>
    <n v="0.05"/>
    <d v="2024-04-19T00:00:00"/>
    <n v="350.22"/>
  </r>
  <r>
    <x v="10"/>
    <x v="9"/>
    <x v="0"/>
    <x v="4"/>
    <n v="1572.82"/>
    <n v="6"/>
    <n v="0.05"/>
    <d v="2024-04-20T00:00:00"/>
    <n v="672.38"/>
  </r>
  <r>
    <x v="10"/>
    <x v="8"/>
    <x v="4"/>
    <x v="0"/>
    <n v="1343.13"/>
    <n v="14"/>
    <n v="0.15"/>
    <d v="2024-04-22T00:00:00"/>
    <n v="456.66"/>
  </r>
  <r>
    <x v="5"/>
    <x v="4"/>
    <x v="4"/>
    <x v="0"/>
    <n v="1191.58"/>
    <n v="14"/>
    <n v="0.05"/>
    <d v="2024-04-24T00:00:00"/>
    <n v="452.8"/>
  </r>
  <r>
    <x v="11"/>
    <x v="1"/>
    <x v="0"/>
    <x v="3"/>
    <n v="822.28"/>
    <n v="7"/>
    <n v="0.05"/>
    <d v="2024-04-24T00:00:00"/>
    <n v="273.41000000000003"/>
  </r>
  <r>
    <x v="12"/>
    <x v="10"/>
    <x v="3"/>
    <x v="3"/>
    <n v="521.66999999999996"/>
    <n v="15"/>
    <n v="0.15"/>
    <d v="2024-04-27T00:00:00"/>
    <n v="155.19999999999999"/>
  </r>
  <r>
    <x v="3"/>
    <x v="11"/>
    <x v="2"/>
    <x v="2"/>
    <n v="1502.93"/>
    <n v="14"/>
    <n v="0.2"/>
    <d v="2024-04-28T00:00:00"/>
    <n v="300.58999999999997"/>
  </r>
  <r>
    <x v="13"/>
    <x v="1"/>
    <x v="2"/>
    <x v="0"/>
    <n v="877.58"/>
    <n v="10"/>
    <n v="0.15"/>
    <d v="2024-04-29T00:00:00"/>
    <n v="298.38"/>
  </r>
  <r>
    <x v="6"/>
    <x v="12"/>
    <x v="0"/>
    <x v="0"/>
    <n v="636.70000000000005"/>
    <n v="4"/>
    <n v="0.2"/>
    <d v="2024-04-29T00:00:00"/>
    <n v="203.74"/>
  </r>
  <r>
    <x v="14"/>
    <x v="13"/>
    <x v="0"/>
    <x v="0"/>
    <n v="1506.14"/>
    <n v="13"/>
    <n v="0.2"/>
    <d v="2024-04-30T00:00:00"/>
    <n v="481.96"/>
  </r>
  <r>
    <x v="7"/>
    <x v="6"/>
    <x v="4"/>
    <x v="2"/>
    <n v="645.02"/>
    <n v="4"/>
    <n v="0"/>
    <d v="2024-05-02T00:00:00"/>
    <n v="161.26"/>
  </r>
  <r>
    <x v="5"/>
    <x v="14"/>
    <x v="2"/>
    <x v="1"/>
    <n v="953.3"/>
    <n v="11"/>
    <n v="0"/>
    <d v="2024-05-03T00:00:00"/>
    <n v="476.65"/>
  </r>
  <r>
    <x v="15"/>
    <x v="1"/>
    <x v="3"/>
    <x v="2"/>
    <n v="388.56"/>
    <n v="14"/>
    <n v="0.15"/>
    <d v="2024-05-04T00:00:00"/>
    <n v="82.57"/>
  </r>
  <r>
    <x v="0"/>
    <x v="6"/>
    <x v="0"/>
    <x v="0"/>
    <n v="743.17"/>
    <n v="9"/>
    <n v="0"/>
    <d v="2024-05-04T00:00:00"/>
    <n v="297.27"/>
  </r>
  <r>
    <x v="11"/>
    <x v="6"/>
    <x v="4"/>
    <x v="2"/>
    <n v="706.37"/>
    <n v="6"/>
    <n v="0"/>
    <d v="2024-05-04T00:00:00"/>
    <n v="176.59"/>
  </r>
  <r>
    <x v="1"/>
    <x v="6"/>
    <x v="4"/>
    <x v="4"/>
    <n v="925.31"/>
    <n v="8"/>
    <n v="0.1"/>
    <d v="2024-05-06T00:00:00"/>
    <n v="374.75"/>
  </r>
  <r>
    <x v="9"/>
    <x v="15"/>
    <x v="2"/>
    <x v="2"/>
    <n v="1173.1199999999999"/>
    <n v="18"/>
    <n v="0"/>
    <d v="2024-05-06T00:00:00"/>
    <n v="293.27999999999997"/>
  </r>
  <r>
    <x v="4"/>
    <x v="16"/>
    <x v="3"/>
    <x v="3"/>
    <n v="675.54"/>
    <n v="17"/>
    <n v="0"/>
    <d v="2024-05-08T00:00:00"/>
    <n v="236.44"/>
  </r>
  <r>
    <x v="5"/>
    <x v="1"/>
    <x v="4"/>
    <x v="0"/>
    <n v="939.09"/>
    <n v="2"/>
    <n v="0.05"/>
    <d v="2024-05-10T00:00:00"/>
    <n v="356.85"/>
  </r>
  <r>
    <x v="16"/>
    <x v="17"/>
    <x v="1"/>
    <x v="4"/>
    <n v="983.34"/>
    <n v="19"/>
    <n v="0.1"/>
    <d v="2024-05-14T00:00:00"/>
    <n v="398.25"/>
  </r>
  <r>
    <x v="16"/>
    <x v="3"/>
    <x v="2"/>
    <x v="2"/>
    <n v="801.21"/>
    <n v="3"/>
    <n v="0.2"/>
    <d v="2024-05-14T00:00:00"/>
    <n v="160.24"/>
  </r>
  <r>
    <x v="17"/>
    <x v="18"/>
    <x v="3"/>
    <x v="2"/>
    <n v="1450.71"/>
    <n v="5"/>
    <n v="0.1"/>
    <d v="2024-05-15T00:00:00"/>
    <n v="326.41000000000003"/>
  </r>
  <r>
    <x v="15"/>
    <x v="19"/>
    <x v="4"/>
    <x v="0"/>
    <n v="1023.21"/>
    <n v="18"/>
    <n v="0.05"/>
    <d v="2024-05-16T00:00:00"/>
    <n v="388.82"/>
  </r>
  <r>
    <x v="6"/>
    <x v="13"/>
    <x v="0"/>
    <x v="3"/>
    <n v="853.72"/>
    <n v="5"/>
    <n v="0.15"/>
    <d v="2024-05-16T00:00:00"/>
    <n v="253.98"/>
  </r>
  <r>
    <x v="18"/>
    <x v="11"/>
    <x v="2"/>
    <x v="2"/>
    <n v="967.89"/>
    <n v="10"/>
    <n v="0.1"/>
    <d v="2024-05-17T00:00:00"/>
    <n v="217.78"/>
  </r>
  <r>
    <x v="19"/>
    <x v="17"/>
    <x v="3"/>
    <x v="4"/>
    <n v="1200.9000000000001"/>
    <n v="14"/>
    <n v="0.05"/>
    <d v="2024-05-17T00:00:00"/>
    <n v="513.38"/>
  </r>
  <r>
    <x v="1"/>
    <x v="4"/>
    <x v="0"/>
    <x v="0"/>
    <n v="472.38"/>
    <n v="12"/>
    <n v="0.2"/>
    <d v="2024-05-17T00:00:00"/>
    <n v="151.16"/>
  </r>
  <r>
    <x v="0"/>
    <x v="18"/>
    <x v="1"/>
    <x v="4"/>
    <n v="840.92"/>
    <n v="9"/>
    <n v="0.05"/>
    <d v="2024-05-17T00:00:00"/>
    <n v="359.49"/>
  </r>
  <r>
    <x v="16"/>
    <x v="14"/>
    <x v="4"/>
    <x v="3"/>
    <n v="1410.06"/>
    <n v="11"/>
    <n v="0.05"/>
    <d v="2024-05-22T00:00:00"/>
    <n v="468.84"/>
  </r>
  <r>
    <x v="13"/>
    <x v="20"/>
    <x v="4"/>
    <x v="3"/>
    <n v="773.09"/>
    <n v="13"/>
    <n v="0.15"/>
    <d v="2024-05-22T00:00:00"/>
    <n v="229.99"/>
  </r>
  <r>
    <x v="20"/>
    <x v="21"/>
    <x v="1"/>
    <x v="0"/>
    <n v="580.42999999999995"/>
    <n v="19"/>
    <n v="0.15"/>
    <d v="2024-05-23T00:00:00"/>
    <n v="197.35"/>
  </r>
  <r>
    <x v="3"/>
    <x v="10"/>
    <x v="2"/>
    <x v="0"/>
    <n v="1151.21"/>
    <n v="15"/>
    <n v="0.1"/>
    <d v="2024-06-02T00:00:00"/>
    <n v="414.44"/>
  </r>
  <r>
    <x v="16"/>
    <x v="3"/>
    <x v="4"/>
    <x v="4"/>
    <n v="1025.98"/>
    <n v="5"/>
    <n v="0.2"/>
    <d v="2024-06-04T00:00:00"/>
    <n v="369.35"/>
  </r>
  <r>
    <x v="11"/>
    <x v="19"/>
    <x v="1"/>
    <x v="4"/>
    <n v="556.41999999999996"/>
    <n v="11"/>
    <n v="0.15"/>
    <d v="2024-06-04T00:00:00"/>
    <n v="212.83"/>
  </r>
  <r>
    <x v="18"/>
    <x v="3"/>
    <x v="4"/>
    <x v="0"/>
    <n v="840.85"/>
    <n v="19"/>
    <n v="0.1"/>
    <d v="2024-06-05T00:00:00"/>
    <n v="302.70999999999998"/>
  </r>
  <r>
    <x v="7"/>
    <x v="21"/>
    <x v="3"/>
    <x v="3"/>
    <n v="1227.25"/>
    <n v="12"/>
    <n v="0.15"/>
    <d v="2024-06-05T00:00:00"/>
    <n v="365.11"/>
  </r>
  <r>
    <x v="2"/>
    <x v="22"/>
    <x v="4"/>
    <x v="2"/>
    <n v="856.7"/>
    <n v="2"/>
    <n v="0"/>
    <d v="2024-06-06T00:00:00"/>
    <n v="214.18"/>
  </r>
  <r>
    <x v="17"/>
    <x v="19"/>
    <x v="4"/>
    <x v="4"/>
    <n v="1225.42"/>
    <n v="8"/>
    <n v="0.15"/>
    <d v="2024-06-06T00:00:00"/>
    <n v="468.72"/>
  </r>
  <r>
    <x v="21"/>
    <x v="6"/>
    <x v="3"/>
    <x v="4"/>
    <n v="1001.57"/>
    <n v="12"/>
    <n v="0"/>
    <d v="2024-06-07T00:00:00"/>
    <n v="450.71"/>
  </r>
  <r>
    <x v="18"/>
    <x v="4"/>
    <x v="1"/>
    <x v="3"/>
    <n v="1186.8499999999999"/>
    <n v="19"/>
    <n v="0.2"/>
    <d v="2024-06-08T00:00:00"/>
    <n v="332.32"/>
  </r>
  <r>
    <x v="13"/>
    <x v="16"/>
    <x v="2"/>
    <x v="2"/>
    <n v="775.45"/>
    <n v="6"/>
    <n v="0.1"/>
    <d v="2024-06-14T00:00:00"/>
    <n v="174.48"/>
  </r>
  <r>
    <x v="5"/>
    <x v="7"/>
    <x v="2"/>
    <x v="2"/>
    <n v="1021.47"/>
    <n v="6"/>
    <n v="0.05"/>
    <d v="2024-06-18T00:00:00"/>
    <n v="242.6"/>
  </r>
  <r>
    <x v="19"/>
    <x v="3"/>
    <x v="2"/>
    <x v="1"/>
    <n v="1226.6199999999999"/>
    <n v="7"/>
    <n v="0.1"/>
    <d v="2024-06-20T00:00:00"/>
    <n v="551.98"/>
  </r>
  <r>
    <x v="4"/>
    <x v="23"/>
    <x v="2"/>
    <x v="3"/>
    <n v="1086.93"/>
    <n v="2"/>
    <n v="0"/>
    <d v="2024-06-21T00:00:00"/>
    <n v="380.43"/>
  </r>
  <r>
    <x v="22"/>
    <x v="14"/>
    <x v="0"/>
    <x v="0"/>
    <n v="942.9"/>
    <n v="18"/>
    <n v="0.1"/>
    <d v="2024-06-23T00:00:00"/>
    <n v="339.44"/>
  </r>
  <r>
    <x v="8"/>
    <x v="9"/>
    <x v="3"/>
    <x v="2"/>
    <n v="818.8"/>
    <n v="15"/>
    <n v="0.15"/>
    <d v="2024-06-25T00:00:00"/>
    <n v="173.99"/>
  </r>
  <r>
    <x v="3"/>
    <x v="1"/>
    <x v="2"/>
    <x v="3"/>
    <n v="919.04"/>
    <n v="10"/>
    <n v="0.2"/>
    <d v="2024-06-25T00:00:00"/>
    <n v="257.33"/>
  </r>
  <r>
    <x v="4"/>
    <x v="24"/>
    <x v="4"/>
    <x v="0"/>
    <n v="973.26"/>
    <n v="11"/>
    <n v="0"/>
    <d v="2024-06-27T00:00:00"/>
    <n v="389.3"/>
  </r>
  <r>
    <x v="12"/>
    <x v="23"/>
    <x v="3"/>
    <x v="2"/>
    <n v="741.61"/>
    <n v="1"/>
    <n v="0.2"/>
    <d v="2024-06-28T00:00:00"/>
    <n v="148.32"/>
  </r>
  <r>
    <x v="23"/>
    <x v="9"/>
    <x v="3"/>
    <x v="0"/>
    <n v="1248.82"/>
    <n v="2"/>
    <n v="0.1"/>
    <d v="2024-06-30T00:00:00"/>
    <n v="449.58"/>
  </r>
  <r>
    <x v="1"/>
    <x v="20"/>
    <x v="0"/>
    <x v="1"/>
    <n v="1360.36"/>
    <n v="17"/>
    <n v="0"/>
    <d v="2024-06-30T00:00:00"/>
    <n v="680.18"/>
  </r>
  <r>
    <x v="18"/>
    <x v="6"/>
    <x v="1"/>
    <x v="0"/>
    <n v="1383.3"/>
    <n v="8"/>
    <n v="0.1"/>
    <d v="2024-07-05T00:00:00"/>
    <n v="497.99"/>
  </r>
  <r>
    <x v="9"/>
    <x v="18"/>
    <x v="4"/>
    <x v="4"/>
    <n v="488.99"/>
    <n v="9"/>
    <n v="0"/>
    <d v="2024-07-06T00:00:00"/>
    <n v="220.05"/>
  </r>
  <r>
    <x v="7"/>
    <x v="6"/>
    <x v="1"/>
    <x v="3"/>
    <n v="933.71"/>
    <n v="17"/>
    <n v="0.1"/>
    <d v="2024-07-08T00:00:00"/>
    <n v="294.12"/>
  </r>
  <r>
    <x v="23"/>
    <x v="0"/>
    <x v="0"/>
    <x v="2"/>
    <n v="1005.53"/>
    <n v="17"/>
    <n v="0.2"/>
    <d v="2024-07-08T00:00:00"/>
    <n v="201.11"/>
  </r>
  <r>
    <x v="12"/>
    <x v="21"/>
    <x v="2"/>
    <x v="2"/>
    <n v="1100.0999999999999"/>
    <n v="5"/>
    <n v="0.05"/>
    <d v="2024-07-09T00:00:00"/>
    <n v="261.27"/>
  </r>
  <r>
    <x v="23"/>
    <x v="3"/>
    <x v="3"/>
    <x v="3"/>
    <n v="1034.7"/>
    <n v="15"/>
    <n v="0.15"/>
    <d v="2024-07-14T00:00:00"/>
    <n v="307.82"/>
  </r>
  <r>
    <x v="22"/>
    <x v="6"/>
    <x v="2"/>
    <x v="0"/>
    <n v="876.44"/>
    <n v="12"/>
    <n v="0.05"/>
    <d v="2024-07-15T00:00:00"/>
    <n v="333.05"/>
  </r>
  <r>
    <x v="24"/>
    <x v="18"/>
    <x v="0"/>
    <x v="3"/>
    <n v="1371.34"/>
    <n v="5"/>
    <n v="0.05"/>
    <d v="2024-07-15T00:00:00"/>
    <n v="455.97"/>
  </r>
  <r>
    <x v="18"/>
    <x v="13"/>
    <x v="3"/>
    <x v="2"/>
    <n v="1020.26"/>
    <n v="11"/>
    <n v="0.05"/>
    <d v="2024-07-21T00:00:00"/>
    <n v="242.31"/>
  </r>
  <r>
    <x v="13"/>
    <x v="0"/>
    <x v="4"/>
    <x v="4"/>
    <n v="804.81"/>
    <n v="1"/>
    <n v="0.05"/>
    <d v="2024-07-29T00:00:00"/>
    <n v="344.06"/>
  </r>
  <r>
    <x v="4"/>
    <x v="18"/>
    <x v="4"/>
    <x v="2"/>
    <n v="608.66"/>
    <n v="1"/>
    <n v="0.05"/>
    <d v="2024-07-30T00:00:00"/>
    <n v="144.56"/>
  </r>
  <r>
    <x v="24"/>
    <x v="25"/>
    <x v="2"/>
    <x v="4"/>
    <n v="981.2"/>
    <n v="19"/>
    <n v="0"/>
    <d v="2024-07-31T00:00:00"/>
    <n v="441.54"/>
  </r>
  <r>
    <x v="25"/>
    <x v="18"/>
    <x v="1"/>
    <x v="2"/>
    <n v="539.77"/>
    <n v="10"/>
    <n v="0.15"/>
    <d v="2024-08-05T00:00:00"/>
    <n v="114.7"/>
  </r>
  <r>
    <x v="1"/>
    <x v="26"/>
    <x v="2"/>
    <x v="0"/>
    <n v="804.45"/>
    <n v="5"/>
    <n v="0.2"/>
    <d v="2024-08-05T00:00:00"/>
    <n v="257.42"/>
  </r>
  <r>
    <x v="25"/>
    <x v="9"/>
    <x v="0"/>
    <x v="2"/>
    <n v="1526.6"/>
    <n v="13"/>
    <n v="0.2"/>
    <d v="2024-08-08T00:00:00"/>
    <n v="305.32"/>
  </r>
  <r>
    <x v="1"/>
    <x v="5"/>
    <x v="0"/>
    <x v="2"/>
    <n v="1215.26"/>
    <n v="5"/>
    <n v="0.15"/>
    <d v="2024-08-09T00:00:00"/>
    <n v="258.24"/>
  </r>
  <r>
    <x v="3"/>
    <x v="17"/>
    <x v="4"/>
    <x v="3"/>
    <n v="1261.3399999999999"/>
    <n v="3"/>
    <n v="0"/>
    <d v="2024-08-15T00:00:00"/>
    <n v="441.47"/>
  </r>
  <r>
    <x v="26"/>
    <x v="12"/>
    <x v="3"/>
    <x v="3"/>
    <n v="518.07000000000005"/>
    <n v="7"/>
    <n v="0.05"/>
    <d v="2024-08-18T00:00:00"/>
    <n v="172.26"/>
  </r>
  <r>
    <x v="7"/>
    <x v="5"/>
    <x v="0"/>
    <x v="4"/>
    <n v="1111.3399999999999"/>
    <n v="1"/>
    <n v="0"/>
    <d v="2024-08-19T00:00:00"/>
    <n v="500.1"/>
  </r>
  <r>
    <x v="4"/>
    <x v="6"/>
    <x v="1"/>
    <x v="1"/>
    <n v="1291.47"/>
    <n v="18"/>
    <n v="0.1"/>
    <d v="2024-08-22T00:00:00"/>
    <n v="581.16"/>
  </r>
  <r>
    <x v="5"/>
    <x v="18"/>
    <x v="3"/>
    <x v="0"/>
    <n v="679.71"/>
    <n v="19"/>
    <n v="0"/>
    <d v="2024-08-30T00:00:00"/>
    <n v="271.88"/>
  </r>
  <r>
    <x v="24"/>
    <x v="7"/>
    <x v="1"/>
    <x v="3"/>
    <n v="1143.69"/>
    <n v="17"/>
    <n v="0"/>
    <d v="2024-08-30T00:00:00"/>
    <n v="400.29"/>
  </r>
  <r>
    <x v="16"/>
    <x v="15"/>
    <x v="4"/>
    <x v="2"/>
    <n v="790.08"/>
    <n v="7"/>
    <n v="0.1"/>
    <d v="2024-09-01T00:00:00"/>
    <n v="177.77"/>
  </r>
  <r>
    <x v="3"/>
    <x v="14"/>
    <x v="4"/>
    <x v="0"/>
    <n v="1070.68"/>
    <n v="7"/>
    <n v="0.05"/>
    <d v="2024-09-01T00:00:00"/>
    <n v="406.86"/>
  </r>
  <r>
    <x v="19"/>
    <x v="8"/>
    <x v="0"/>
    <x v="1"/>
    <n v="1168.8900000000001"/>
    <n v="4"/>
    <n v="0.1"/>
    <d v="2024-09-09T00:00:00"/>
    <n v="526"/>
  </r>
  <r>
    <x v="23"/>
    <x v="0"/>
    <x v="2"/>
    <x v="2"/>
    <n v="1335.87"/>
    <n v="17"/>
    <n v="0"/>
    <d v="2024-09-09T00:00:00"/>
    <n v="333.97"/>
  </r>
  <r>
    <x v="11"/>
    <x v="18"/>
    <x v="1"/>
    <x v="3"/>
    <n v="873.7"/>
    <n v="9"/>
    <n v="0"/>
    <d v="2024-09-11T00:00:00"/>
    <n v="305.8"/>
  </r>
  <r>
    <x v="26"/>
    <x v="23"/>
    <x v="0"/>
    <x v="4"/>
    <n v="1443.98"/>
    <n v="19"/>
    <n v="0"/>
    <d v="2024-09-12T00:00:00"/>
    <n v="649.79"/>
  </r>
  <r>
    <x v="11"/>
    <x v="3"/>
    <x v="1"/>
    <x v="4"/>
    <n v="1154.33"/>
    <n v="11"/>
    <n v="0.15"/>
    <d v="2024-09-14T00:00:00"/>
    <n v="441.53"/>
  </r>
  <r>
    <x v="15"/>
    <x v="15"/>
    <x v="2"/>
    <x v="0"/>
    <n v="1264.49"/>
    <n v="16"/>
    <n v="0.05"/>
    <d v="2024-09-14T00:00:00"/>
    <n v="480.51"/>
  </r>
  <r>
    <x v="5"/>
    <x v="24"/>
    <x v="0"/>
    <x v="3"/>
    <n v="1101.55"/>
    <n v="4"/>
    <n v="0.1"/>
    <d v="2024-09-16T00:00:00"/>
    <n v="346.99"/>
  </r>
  <r>
    <x v="27"/>
    <x v="1"/>
    <x v="2"/>
    <x v="3"/>
    <n v="727.73"/>
    <n v="1"/>
    <n v="0.1"/>
    <d v="2024-09-17T00:00:00"/>
    <n v="229.23"/>
  </r>
  <r>
    <x v="28"/>
    <x v="9"/>
    <x v="1"/>
    <x v="4"/>
    <n v="875.41"/>
    <n v="13"/>
    <n v="0.15"/>
    <d v="2024-09-17T00:00:00"/>
    <n v="334.84"/>
  </r>
  <r>
    <x v="23"/>
    <x v="3"/>
    <x v="0"/>
    <x v="2"/>
    <n v="1158.94"/>
    <n v="19"/>
    <n v="0.2"/>
    <d v="2024-09-18T00:00:00"/>
    <n v="231.79"/>
  </r>
  <r>
    <x v="29"/>
    <x v="13"/>
    <x v="2"/>
    <x v="0"/>
    <n v="966.3"/>
    <n v="2"/>
    <n v="0.15"/>
    <d v="2024-09-22T00:00:00"/>
    <n v="328.54"/>
  </r>
  <r>
    <x v="24"/>
    <x v="2"/>
    <x v="2"/>
    <x v="0"/>
    <n v="917.48"/>
    <n v="6"/>
    <n v="0"/>
    <d v="2024-09-23T00:00:00"/>
    <n v="366.99"/>
  </r>
  <r>
    <x v="12"/>
    <x v="21"/>
    <x v="0"/>
    <x v="3"/>
    <n v="1172.97"/>
    <n v="7"/>
    <n v="0.15"/>
    <d v="2024-09-24T00:00:00"/>
    <n v="348.96"/>
  </r>
  <r>
    <x v="18"/>
    <x v="3"/>
    <x v="3"/>
    <x v="1"/>
    <n v="1205.82"/>
    <n v="11"/>
    <n v="0.1"/>
    <d v="2024-09-24T00:00:00"/>
    <n v="542.62"/>
  </r>
  <r>
    <x v="2"/>
    <x v="23"/>
    <x v="0"/>
    <x v="4"/>
    <n v="826.93"/>
    <n v="10"/>
    <n v="0.2"/>
    <d v="2024-09-29T00:00:00"/>
    <n v="297.69"/>
  </r>
  <r>
    <x v="23"/>
    <x v="3"/>
    <x v="4"/>
    <x v="1"/>
    <n v="902.19"/>
    <n v="12"/>
    <n v="0"/>
    <d v="2024-09-29T00:00:00"/>
    <n v="451.1"/>
  </r>
  <r>
    <x v="28"/>
    <x v="9"/>
    <x v="3"/>
    <x v="0"/>
    <n v="585.97"/>
    <n v="17"/>
    <n v="0.1"/>
    <d v="2024-09-30T00:00:00"/>
    <n v="210.95"/>
  </r>
  <r>
    <x v="20"/>
    <x v="4"/>
    <x v="3"/>
    <x v="1"/>
    <n v="990.19"/>
    <n v="8"/>
    <n v="0.1"/>
    <d v="2024-09-30T00:00:00"/>
    <n v="445.59"/>
  </r>
  <r>
    <x v="13"/>
    <x v="19"/>
    <x v="4"/>
    <x v="2"/>
    <n v="1014.09"/>
    <n v="13"/>
    <n v="0.2"/>
    <d v="2024-10-02T00:00:00"/>
    <n v="202.82"/>
  </r>
  <r>
    <x v="1"/>
    <x v="14"/>
    <x v="3"/>
    <x v="2"/>
    <n v="925.29"/>
    <n v="17"/>
    <n v="0"/>
    <d v="2024-10-05T00:00:00"/>
    <n v="231.32"/>
  </r>
  <r>
    <x v="17"/>
    <x v="13"/>
    <x v="1"/>
    <x v="3"/>
    <n v="1286.54"/>
    <n v="8"/>
    <n v="0"/>
    <d v="2024-10-10T00:00:00"/>
    <n v="450.29"/>
  </r>
  <r>
    <x v="10"/>
    <x v="23"/>
    <x v="2"/>
    <x v="0"/>
    <n v="961.62"/>
    <n v="8"/>
    <n v="0.2"/>
    <d v="2024-10-12T00:00:00"/>
    <n v="307.72000000000003"/>
  </r>
  <r>
    <x v="13"/>
    <x v="3"/>
    <x v="1"/>
    <x v="0"/>
    <n v="1081.1400000000001"/>
    <n v="19"/>
    <n v="0.15"/>
    <d v="2024-10-12T00:00:00"/>
    <n v="367.59"/>
  </r>
  <r>
    <x v="19"/>
    <x v="3"/>
    <x v="0"/>
    <x v="1"/>
    <n v="1923.66"/>
    <n v="9"/>
    <n v="0.2"/>
    <d v="2024-10-15T00:00:00"/>
    <n v="769.46"/>
  </r>
  <r>
    <x v="17"/>
    <x v="24"/>
    <x v="4"/>
    <x v="1"/>
    <n v="728.71"/>
    <n v="14"/>
    <n v="0.1"/>
    <d v="2024-10-16T00:00:00"/>
    <n v="327.92"/>
  </r>
  <r>
    <x v="0"/>
    <x v="7"/>
    <x v="4"/>
    <x v="1"/>
    <n v="1301.8900000000001"/>
    <n v="7"/>
    <n v="0.15"/>
    <d v="2024-10-16T00:00:00"/>
    <n v="553.29999999999995"/>
  </r>
  <r>
    <x v="25"/>
    <x v="24"/>
    <x v="1"/>
    <x v="0"/>
    <n v="980.18"/>
    <n v="16"/>
    <n v="0.1"/>
    <d v="2024-10-17T00:00:00"/>
    <n v="352.86"/>
  </r>
  <r>
    <x v="28"/>
    <x v="3"/>
    <x v="0"/>
    <x v="1"/>
    <n v="697.57"/>
    <n v="17"/>
    <n v="0.1"/>
    <d v="2024-10-19T00:00:00"/>
    <n v="313.91000000000003"/>
  </r>
  <r>
    <x v="14"/>
    <x v="26"/>
    <x v="0"/>
    <x v="3"/>
    <n v="1193.6099999999999"/>
    <n v="1"/>
    <n v="0.15"/>
    <d v="2024-10-19T00:00:00"/>
    <n v="355.1"/>
  </r>
  <r>
    <x v="8"/>
    <x v="9"/>
    <x v="2"/>
    <x v="2"/>
    <n v="771.02"/>
    <n v="1"/>
    <n v="0"/>
    <d v="2024-10-20T00:00:00"/>
    <n v="192.76"/>
  </r>
  <r>
    <x v="23"/>
    <x v="25"/>
    <x v="3"/>
    <x v="1"/>
    <n v="661.09"/>
    <n v="1"/>
    <n v="0.2"/>
    <d v="2024-10-28T00:00:00"/>
    <n v="264.44"/>
  </r>
  <r>
    <x v="1"/>
    <x v="18"/>
    <x v="0"/>
    <x v="2"/>
    <n v="688.83"/>
    <n v="15"/>
    <n v="0"/>
    <d v="2024-10-30T00:00:00"/>
    <n v="172.21"/>
  </r>
  <r>
    <x v="27"/>
    <x v="5"/>
    <x v="4"/>
    <x v="0"/>
    <n v="1249.0999999999999"/>
    <n v="4"/>
    <n v="0.05"/>
    <d v="2024-11-01T00:00:00"/>
    <n v="474.66"/>
  </r>
  <r>
    <x v="13"/>
    <x v="3"/>
    <x v="1"/>
    <x v="4"/>
    <n v="1014.22"/>
    <n v="14"/>
    <n v="0.05"/>
    <d v="2024-11-03T00:00:00"/>
    <n v="433.58"/>
  </r>
  <r>
    <x v="17"/>
    <x v="14"/>
    <x v="1"/>
    <x v="0"/>
    <n v="1010.58"/>
    <n v="2"/>
    <n v="0.15"/>
    <d v="2024-11-09T00:00:00"/>
    <n v="343.6"/>
  </r>
  <r>
    <x v="7"/>
    <x v="20"/>
    <x v="3"/>
    <x v="3"/>
    <n v="957.29"/>
    <n v="4"/>
    <n v="0.05"/>
    <d v="2024-11-09T00:00:00"/>
    <n v="318.3"/>
  </r>
  <r>
    <x v="6"/>
    <x v="12"/>
    <x v="3"/>
    <x v="3"/>
    <n v="1077.92"/>
    <n v="3"/>
    <n v="0.05"/>
    <d v="2024-11-12T00:00:00"/>
    <n v="358.41"/>
  </r>
  <r>
    <x v="16"/>
    <x v="15"/>
    <x v="2"/>
    <x v="1"/>
    <n v="1163.01"/>
    <n v="5"/>
    <n v="0"/>
    <d v="2024-11-15T00:00:00"/>
    <n v="581.5"/>
  </r>
  <r>
    <x v="17"/>
    <x v="12"/>
    <x v="1"/>
    <x v="4"/>
    <n v="1014.56"/>
    <n v="10"/>
    <n v="0.1"/>
    <d v="2024-11-16T00:00:00"/>
    <n v="410.9"/>
  </r>
  <r>
    <x v="0"/>
    <x v="2"/>
    <x v="2"/>
    <x v="2"/>
    <n v="718.04"/>
    <n v="14"/>
    <n v="0"/>
    <d v="2024-11-17T00:00:00"/>
    <n v="179.51"/>
  </r>
  <r>
    <x v="26"/>
    <x v="2"/>
    <x v="4"/>
    <x v="1"/>
    <n v="1277.8499999999999"/>
    <n v="18"/>
    <n v="0.2"/>
    <d v="2024-11-17T00:00:00"/>
    <n v="511.14"/>
  </r>
  <r>
    <x v="25"/>
    <x v="3"/>
    <x v="3"/>
    <x v="2"/>
    <n v="706.73"/>
    <n v="1"/>
    <n v="0.15"/>
    <d v="2024-11-17T00:00:00"/>
    <n v="150.18"/>
  </r>
  <r>
    <x v="22"/>
    <x v="15"/>
    <x v="1"/>
    <x v="2"/>
    <n v="1410.59"/>
    <n v="15"/>
    <n v="0"/>
    <d v="2024-11-19T00:00:00"/>
    <n v="352.65"/>
  </r>
  <r>
    <x v="8"/>
    <x v="21"/>
    <x v="2"/>
    <x v="3"/>
    <n v="1350.33"/>
    <n v="10"/>
    <n v="0"/>
    <d v="2024-11-19T00:00:00"/>
    <n v="472.62"/>
  </r>
  <r>
    <x v="12"/>
    <x v="12"/>
    <x v="1"/>
    <x v="2"/>
    <n v="919.18"/>
    <n v="4"/>
    <n v="0.15"/>
    <d v="2024-11-19T00:00:00"/>
    <n v="195.33"/>
  </r>
  <r>
    <x v="28"/>
    <x v="3"/>
    <x v="0"/>
    <x v="2"/>
    <n v="258.51"/>
    <n v="19"/>
    <n v="0"/>
    <d v="2024-11-20T00:00:00"/>
    <n v="64.63"/>
  </r>
  <r>
    <x v="21"/>
    <x v="21"/>
    <x v="1"/>
    <x v="0"/>
    <n v="1213.48"/>
    <n v="5"/>
    <n v="0.05"/>
    <d v="2024-11-20T00:00:00"/>
    <n v="461.12"/>
  </r>
  <r>
    <x v="18"/>
    <x v="9"/>
    <x v="4"/>
    <x v="0"/>
    <n v="1150.28"/>
    <n v="8"/>
    <n v="0.05"/>
    <d v="2024-11-26T00:00:00"/>
    <n v="437.11"/>
  </r>
  <r>
    <x v="10"/>
    <x v="26"/>
    <x v="2"/>
    <x v="3"/>
    <n v="853.86"/>
    <n v="8"/>
    <n v="0.1"/>
    <d v="2024-11-26T00:00:00"/>
    <n v="268.97000000000003"/>
  </r>
  <r>
    <x v="29"/>
    <x v="12"/>
    <x v="2"/>
    <x v="2"/>
    <n v="1061.04"/>
    <n v="1"/>
    <n v="0"/>
    <d v="2024-11-28T00:00:00"/>
    <n v="265.26"/>
  </r>
  <r>
    <x v="6"/>
    <x v="11"/>
    <x v="0"/>
    <x v="2"/>
    <n v="894.55"/>
    <n v="19"/>
    <n v="0.2"/>
    <d v="2024-11-29T00:00:00"/>
    <n v="178.91"/>
  </r>
  <r>
    <x v="5"/>
    <x v="9"/>
    <x v="3"/>
    <x v="4"/>
    <n v="833.91"/>
    <n v="3"/>
    <n v="0.05"/>
    <d v="2024-11-30T00:00:00"/>
    <n v="356.5"/>
  </r>
  <r>
    <x v="19"/>
    <x v="26"/>
    <x v="0"/>
    <x v="3"/>
    <n v="820.19"/>
    <n v="4"/>
    <n v="0.2"/>
    <d v="2024-12-04T00:00:00"/>
    <n v="229.65"/>
  </r>
  <r>
    <x v="19"/>
    <x v="9"/>
    <x v="4"/>
    <x v="2"/>
    <n v="511.74"/>
    <n v="8"/>
    <n v="0.05"/>
    <d v="2024-12-05T00:00:00"/>
    <n v="121.54"/>
  </r>
  <r>
    <x v="22"/>
    <x v="21"/>
    <x v="2"/>
    <x v="3"/>
    <n v="806.03"/>
    <n v="19"/>
    <n v="0.05"/>
    <d v="2024-12-12T00:00:00"/>
    <n v="268"/>
  </r>
  <r>
    <x v="6"/>
    <x v="4"/>
    <x v="4"/>
    <x v="3"/>
    <n v="1432.47"/>
    <n v="16"/>
    <n v="0.15"/>
    <d v="2024-12-14T00:00:00"/>
    <n v="426.16"/>
  </r>
  <r>
    <x v="28"/>
    <x v="5"/>
    <x v="4"/>
    <x v="2"/>
    <n v="1488.58"/>
    <n v="10"/>
    <n v="0.15"/>
    <d v="2024-12-14T00:00:00"/>
    <n v="316.32"/>
  </r>
  <r>
    <x v="7"/>
    <x v="24"/>
    <x v="1"/>
    <x v="0"/>
    <n v="1231.26"/>
    <n v="9"/>
    <n v="0"/>
    <d v="2024-12-20T00:00:00"/>
    <n v="492.5"/>
  </r>
  <r>
    <x v="7"/>
    <x v="11"/>
    <x v="0"/>
    <x v="2"/>
    <n v="1161.67"/>
    <n v="19"/>
    <n v="0.2"/>
    <d v="2024-12-21T00:00:00"/>
    <n v="232.33"/>
  </r>
  <r>
    <x v="15"/>
    <x v="12"/>
    <x v="4"/>
    <x v="4"/>
    <n v="388.23"/>
    <n v="16"/>
    <n v="0.05"/>
    <d v="2024-12-24T00:00:00"/>
    <n v="165.97"/>
  </r>
  <r>
    <x v="26"/>
    <x v="6"/>
    <x v="3"/>
    <x v="1"/>
    <n v="1589.42"/>
    <n v="6"/>
    <n v="0.15"/>
    <d v="2024-12-25T00:00:00"/>
    <n v="675.5"/>
  </r>
  <r>
    <x v="6"/>
    <x v="26"/>
    <x v="3"/>
    <x v="1"/>
    <n v="336.66"/>
    <n v="13"/>
    <n v="0.2"/>
    <d v="2024-12-25T00:00:00"/>
    <n v="134.66"/>
  </r>
  <r>
    <x v="15"/>
    <x v="3"/>
    <x v="0"/>
    <x v="0"/>
    <n v="1353.79"/>
    <n v="14"/>
    <n v="0.1"/>
    <d v="2024-12-30T00:00:00"/>
    <n v="487.36"/>
  </r>
  <r>
    <x v="21"/>
    <x v="25"/>
    <x v="4"/>
    <x v="1"/>
    <n v="662.61"/>
    <n v="11"/>
    <n v="0.05"/>
    <d v="2025-01-01T00:00:00"/>
    <n v="314.74"/>
  </r>
  <r>
    <x v="16"/>
    <x v="14"/>
    <x v="3"/>
    <x v="4"/>
    <n v="309.42"/>
    <n v="1"/>
    <n v="0.2"/>
    <d v="2025-01-01T00:00:00"/>
    <n v="111.39"/>
  </r>
  <r>
    <x v="21"/>
    <x v="5"/>
    <x v="3"/>
    <x v="0"/>
    <n v="884.63"/>
    <n v="18"/>
    <n v="0.1"/>
    <d v="2025-01-02T00:00:00"/>
    <n v="318.47000000000003"/>
  </r>
  <r>
    <x v="16"/>
    <x v="3"/>
    <x v="4"/>
    <x v="4"/>
    <n v="745.05"/>
    <n v="10"/>
    <n v="0.1"/>
    <d v="2025-01-03T00:00:00"/>
    <n v="301.75"/>
  </r>
  <r>
    <x v="20"/>
    <x v="2"/>
    <x v="2"/>
    <x v="1"/>
    <n v="870.23"/>
    <n v="5"/>
    <n v="0.05"/>
    <d v="2025-01-03T00:00:00"/>
    <n v="413.36"/>
  </r>
  <r>
    <x v="9"/>
    <x v="5"/>
    <x v="0"/>
    <x v="3"/>
    <n v="862.19"/>
    <n v="18"/>
    <n v="0.05"/>
    <d v="2025-01-06T00:00:00"/>
    <n v="286.68"/>
  </r>
  <r>
    <x v="27"/>
    <x v="20"/>
    <x v="3"/>
    <x v="1"/>
    <n v="1171.18"/>
    <n v="19"/>
    <n v="0.05"/>
    <d v="2025-01-10T00:00:00"/>
    <n v="556.30999999999995"/>
  </r>
  <r>
    <x v="19"/>
    <x v="1"/>
    <x v="2"/>
    <x v="3"/>
    <n v="1054.56"/>
    <n v="11"/>
    <n v="0.1"/>
    <d v="2025-01-12T00:00:00"/>
    <n v="332.19"/>
  </r>
  <r>
    <x v="19"/>
    <x v="3"/>
    <x v="3"/>
    <x v="2"/>
    <n v="1681.21"/>
    <n v="5"/>
    <n v="0.2"/>
    <d v="2025-01-13T00:00:00"/>
    <n v="336.24"/>
  </r>
  <r>
    <x v="19"/>
    <x v="8"/>
    <x v="0"/>
    <x v="1"/>
    <n v="379.77"/>
    <n v="9"/>
    <n v="0.05"/>
    <d v="2025-01-16T00:00:00"/>
    <n v="180.39"/>
  </r>
  <r>
    <x v="13"/>
    <x v="12"/>
    <x v="4"/>
    <x v="1"/>
    <n v="1076.33"/>
    <n v="2"/>
    <n v="0.1"/>
    <d v="2025-01-17T00:00:00"/>
    <n v="484.35"/>
  </r>
  <r>
    <x v="13"/>
    <x v="6"/>
    <x v="4"/>
    <x v="4"/>
    <n v="1250.71"/>
    <n v="7"/>
    <n v="0"/>
    <d v="2025-01-17T00:00:00"/>
    <n v="562.82000000000005"/>
  </r>
  <r>
    <x v="11"/>
    <x v="2"/>
    <x v="2"/>
    <x v="1"/>
    <n v="1118.3399999999999"/>
    <n v="6"/>
    <n v="0.2"/>
    <d v="2025-01-17T00:00:00"/>
    <n v="447.34"/>
  </r>
  <r>
    <x v="25"/>
    <x v="17"/>
    <x v="3"/>
    <x v="1"/>
    <n v="1622.62"/>
    <n v="12"/>
    <n v="0.2"/>
    <d v="2025-01-20T00:00:00"/>
    <n v="649.04999999999995"/>
  </r>
  <r>
    <x v="29"/>
    <x v="14"/>
    <x v="3"/>
    <x v="0"/>
    <n v="640.64"/>
    <n v="11"/>
    <n v="0.2"/>
    <d v="2025-01-21T00:00:00"/>
    <n v="205"/>
  </r>
  <r>
    <x v="4"/>
    <x v="11"/>
    <x v="0"/>
    <x v="1"/>
    <n v="585.16"/>
    <n v="17"/>
    <n v="0.1"/>
    <d v="2025-01-27T00:00:00"/>
    <n v="263.32"/>
  </r>
  <r>
    <x v="4"/>
    <x v="6"/>
    <x v="1"/>
    <x v="1"/>
    <n v="1109.98"/>
    <n v="5"/>
    <n v="0.2"/>
    <d v="2025-02-02T00:00:00"/>
    <n v="443.99"/>
  </r>
  <r>
    <x v="19"/>
    <x v="12"/>
    <x v="1"/>
    <x v="0"/>
    <n v="1098.08"/>
    <n v="9"/>
    <n v="0.1"/>
    <d v="2025-02-04T00:00:00"/>
    <n v="395.31"/>
  </r>
  <r>
    <x v="22"/>
    <x v="14"/>
    <x v="0"/>
    <x v="4"/>
    <n v="827.25"/>
    <n v="7"/>
    <n v="0.1"/>
    <d v="2025-02-05T00:00:00"/>
    <n v="335.04"/>
  </r>
  <r>
    <x v="25"/>
    <x v="5"/>
    <x v="4"/>
    <x v="1"/>
    <n v="741.88"/>
    <n v="16"/>
    <n v="0.1"/>
    <d v="2025-02-07T00:00:00"/>
    <n v="333.85"/>
  </r>
  <r>
    <x v="26"/>
    <x v="0"/>
    <x v="1"/>
    <x v="4"/>
    <n v="1311.26"/>
    <n v="6"/>
    <n v="0.1"/>
    <d v="2025-02-10T00:00:00"/>
    <n v="531.05999999999995"/>
  </r>
  <r>
    <x v="26"/>
    <x v="6"/>
    <x v="2"/>
    <x v="4"/>
    <n v="573.32000000000005"/>
    <n v="19"/>
    <n v="0.1"/>
    <d v="2025-02-15T00:00:00"/>
    <n v="232.19"/>
  </r>
  <r>
    <x v="16"/>
    <x v="3"/>
    <x v="0"/>
    <x v="2"/>
    <n v="1115.22"/>
    <n v="14"/>
    <n v="0.2"/>
    <d v="2025-02-17T00:00:00"/>
    <n v="223.04"/>
  </r>
  <r>
    <x v="1"/>
    <x v="12"/>
    <x v="3"/>
    <x v="1"/>
    <n v="845.84"/>
    <n v="4"/>
    <n v="0"/>
    <d v="2025-02-19T00:00:00"/>
    <n v="422.92"/>
  </r>
  <r>
    <x v="7"/>
    <x v="18"/>
    <x v="0"/>
    <x v="2"/>
    <n v="1029.8"/>
    <n v="3"/>
    <n v="0"/>
    <d v="2025-02-20T00:00:00"/>
    <n v="257.45"/>
  </r>
  <r>
    <x v="8"/>
    <x v="6"/>
    <x v="3"/>
    <x v="0"/>
    <n v="1189.83"/>
    <n v="2"/>
    <n v="0.2"/>
    <d v="2025-02-21T00:00:00"/>
    <n v="380.75"/>
  </r>
  <r>
    <x v="23"/>
    <x v="11"/>
    <x v="2"/>
    <x v="0"/>
    <n v="704.28"/>
    <n v="15"/>
    <n v="0.2"/>
    <d v="2025-02-24T00:00:00"/>
    <n v="225.37"/>
  </r>
  <r>
    <x v="22"/>
    <x v="13"/>
    <x v="4"/>
    <x v="4"/>
    <n v="1618.22"/>
    <n v="12"/>
    <n v="0.2"/>
    <d v="2025-02-24T00:00:00"/>
    <n v="582.55999999999995"/>
  </r>
  <r>
    <x v="27"/>
    <x v="17"/>
    <x v="4"/>
    <x v="0"/>
    <n v="1014.43"/>
    <n v="2"/>
    <n v="0.15"/>
    <d v="2025-02-25T00:00:00"/>
    <n v="344.91"/>
  </r>
  <r>
    <x v="29"/>
    <x v="6"/>
    <x v="4"/>
    <x v="1"/>
    <n v="826.97"/>
    <n v="18"/>
    <n v="0.2"/>
    <d v="2025-02-27T00:00:00"/>
    <n v="330.79"/>
  </r>
  <r>
    <x v="2"/>
    <x v="6"/>
    <x v="4"/>
    <x v="1"/>
    <n v="1022.23"/>
    <n v="8"/>
    <n v="0.1"/>
    <d v="2025-03-01T00:00:00"/>
    <n v="460"/>
  </r>
  <r>
    <x v="26"/>
    <x v="5"/>
    <x v="1"/>
    <x v="0"/>
    <n v="1099.69"/>
    <n v="6"/>
    <n v="0"/>
    <d v="2025-03-02T00:00:00"/>
    <n v="439.88"/>
  </r>
  <r>
    <x v="16"/>
    <x v="23"/>
    <x v="3"/>
    <x v="0"/>
    <n v="710.52"/>
    <n v="8"/>
    <n v="0.1"/>
    <d v="2025-03-05T00:00:00"/>
    <n v="255.79"/>
  </r>
  <r>
    <x v="16"/>
    <x v="20"/>
    <x v="3"/>
    <x v="0"/>
    <n v="499.18"/>
    <n v="15"/>
    <n v="0.2"/>
    <d v="2025-03-08T00:00:00"/>
    <n v="159.74"/>
  </r>
  <r>
    <x v="10"/>
    <x v="9"/>
    <x v="2"/>
    <x v="0"/>
    <n v="1064.19"/>
    <n v="18"/>
    <n v="0.05"/>
    <d v="2025-03-09T00:00:00"/>
    <n v="404.39"/>
  </r>
  <r>
    <x v="23"/>
    <x v="9"/>
    <x v="1"/>
    <x v="4"/>
    <n v="438.76"/>
    <n v="18"/>
    <n v="0.05"/>
    <d v="2025-03-10T00:00:00"/>
    <n v="187.57"/>
  </r>
  <r>
    <x v="12"/>
    <x v="18"/>
    <x v="0"/>
    <x v="1"/>
    <n v="864.98"/>
    <n v="2"/>
    <n v="0.05"/>
    <d v="2025-03-11T00:00:00"/>
    <n v="410.87"/>
  </r>
  <r>
    <x v="18"/>
    <x v="18"/>
    <x v="0"/>
    <x v="3"/>
    <n v="984.93"/>
    <n v="14"/>
    <n v="0.2"/>
    <d v="2025-03-17T00:00:00"/>
    <n v="275.77999999999997"/>
  </r>
  <r>
    <x v="5"/>
    <x v="18"/>
    <x v="0"/>
    <x v="1"/>
    <n v="1493.49"/>
    <n v="18"/>
    <n v="0"/>
    <d v="2025-03-18T00:00:00"/>
    <n v="746.74"/>
  </r>
  <r>
    <x v="8"/>
    <x v="17"/>
    <x v="2"/>
    <x v="1"/>
    <n v="689.43"/>
    <n v="9"/>
    <n v="0.1"/>
    <d v="2025-03-20T00:00:00"/>
    <n v="310.24"/>
  </r>
  <r>
    <x v="11"/>
    <x v="20"/>
    <x v="2"/>
    <x v="1"/>
    <n v="682.24"/>
    <n v="1"/>
    <n v="0"/>
    <d v="2025-03-22T00:00:00"/>
    <n v="341.12"/>
  </r>
  <r>
    <x v="12"/>
    <x v="4"/>
    <x v="3"/>
    <x v="2"/>
    <n v="458.54"/>
    <n v="15"/>
    <n v="0.2"/>
    <d v="2025-03-25T00:00:00"/>
    <n v="91.71"/>
  </r>
  <r>
    <x v="8"/>
    <x v="4"/>
    <x v="2"/>
    <x v="3"/>
    <n v="1184.25"/>
    <n v="11"/>
    <n v="0.2"/>
    <d v="2025-03-26T00:00:00"/>
    <n v="331.59"/>
  </r>
  <r>
    <x v="5"/>
    <x v="0"/>
    <x v="2"/>
    <x v="1"/>
    <n v="762.14"/>
    <n v="9"/>
    <n v="0"/>
    <d v="2025-03-27T00:00:00"/>
    <n v="381.07"/>
  </r>
  <r>
    <x v="4"/>
    <x v="17"/>
    <x v="3"/>
    <x v="0"/>
    <n v="750.71"/>
    <n v="10"/>
    <n v="0.15"/>
    <d v="2025-03-27T00:00:00"/>
    <n v="255.24"/>
  </r>
  <r>
    <x v="29"/>
    <x v="26"/>
    <x v="4"/>
    <x v="1"/>
    <n v="1456.94"/>
    <n v="14"/>
    <n v="0.05"/>
    <d v="2025-03-29T00:00:00"/>
    <n v="692.05"/>
  </r>
  <r>
    <x v="13"/>
    <x v="21"/>
    <x v="1"/>
    <x v="3"/>
    <n v="1093.3800000000001"/>
    <n v="17"/>
    <n v="0.1"/>
    <d v="2025-03-29T00:00:00"/>
    <n v="344.41"/>
  </r>
  <r>
    <x v="10"/>
    <x v="11"/>
    <x v="0"/>
    <x v="1"/>
    <n v="934.27"/>
    <n v="8"/>
    <n v="0.15"/>
    <d v="2025-03-30T00:00:00"/>
    <n v="397.06"/>
  </r>
  <r>
    <x v="25"/>
    <x v="8"/>
    <x v="4"/>
    <x v="1"/>
    <n v="1465.35"/>
    <n v="8"/>
    <n v="0.2"/>
    <d v="2025-03-30T00:00:00"/>
    <n v="586.14"/>
  </r>
  <r>
    <x v="16"/>
    <x v="1"/>
    <x v="2"/>
    <x v="4"/>
    <n v="740.8"/>
    <n v="3"/>
    <n v="0"/>
    <d v="2025-04-02T00:00:00"/>
    <n v="333.36"/>
  </r>
  <r>
    <x v="19"/>
    <x v="11"/>
    <x v="0"/>
    <x v="4"/>
    <n v="545.44000000000005"/>
    <n v="17"/>
    <n v="0"/>
    <d v="2025-04-05T00:00:00"/>
    <n v="245.45"/>
  </r>
  <r>
    <x v="9"/>
    <x v="8"/>
    <x v="1"/>
    <x v="0"/>
    <n v="997.61"/>
    <n v="8"/>
    <n v="0.05"/>
    <d v="2025-04-05T00:00:00"/>
    <n v="379.09"/>
  </r>
  <r>
    <x v="20"/>
    <x v="8"/>
    <x v="2"/>
    <x v="1"/>
    <n v="928.32"/>
    <n v="2"/>
    <n v="0.05"/>
    <d v="2025-04-07T00:00:00"/>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s v="Books"/>
    <n v="1036.0899999999999"/>
    <n v="4"/>
    <n v="0.2"/>
    <d v="2024-04-10T00:00:00"/>
    <n v="331.55"/>
    <x v="0"/>
  </r>
  <r>
    <s v="CUST012"/>
    <s v="Robert Anderson"/>
    <s v="West"/>
    <s v="Clothing"/>
    <n v="1101.28"/>
    <n v="3"/>
    <n v="0.2"/>
    <d v="2024-04-11T00:00:00"/>
    <n v="440.51"/>
    <x v="0"/>
  </r>
  <r>
    <s v="CUST017"/>
    <s v="James Taylor"/>
    <s v="East"/>
    <s v="Books"/>
    <n v="713.34"/>
    <n v="17"/>
    <n v="0"/>
    <d v="2024-04-14T00:00:00"/>
    <n v="285.33999999999997"/>
    <x v="0"/>
  </r>
  <r>
    <s v="CUST005"/>
    <s v="Robert Anderson"/>
    <s v="South"/>
    <s v="Electronics"/>
    <n v="760.93"/>
    <n v="4"/>
    <n v="0.15"/>
    <d v="2024-04-14T00:00:00"/>
    <n v="161.69999999999999"/>
    <x v="0"/>
  </r>
  <r>
    <s v="CUST030"/>
    <s v="James Wilson"/>
    <s v="North"/>
    <s v="Books"/>
    <n v="847"/>
    <n v="12"/>
    <n v="0.2"/>
    <d v="2024-04-15T00:00:00"/>
    <n v="271.04000000000002"/>
    <x v="0"/>
  </r>
  <r>
    <s v="CUST007"/>
    <s v="Michael Anderson"/>
    <s v="North"/>
    <s v="Furniture"/>
    <n v="965.64"/>
    <n v="8"/>
    <n v="0.1"/>
    <d v="2024-04-16T00:00:00"/>
    <n v="304.18"/>
    <x v="0"/>
  </r>
  <r>
    <s v="CUST001"/>
    <s v="Linda Wilson"/>
    <s v="West"/>
    <s v="Electronics"/>
    <n v="1317.53"/>
    <n v="12"/>
    <n v="0.05"/>
    <d v="2024-04-16T00:00:00"/>
    <n v="312.91000000000003"/>
    <x v="0"/>
  </r>
  <r>
    <s v="CUST026"/>
    <s v="Mary Davis"/>
    <s v="East"/>
    <s v="Furniture"/>
    <n v="1074.47"/>
    <n v="6"/>
    <n v="0.2"/>
    <d v="2024-04-19T00:00:00"/>
    <n v="300.85000000000002"/>
    <x v="0"/>
  </r>
  <r>
    <s v="CUST009"/>
    <s v="Linda Jackson"/>
    <s v="Central"/>
    <s v="Books"/>
    <n v="501.54"/>
    <n v="11"/>
    <n v="0.05"/>
    <d v="2024-04-19T00:00:00"/>
    <n v="190.59"/>
    <x v="0"/>
  </r>
  <r>
    <s v="CUST010"/>
    <s v="David Thomas"/>
    <s v="Central"/>
    <s v="Clothing"/>
    <n v="737.31"/>
    <n v="2"/>
    <n v="0.05"/>
    <d v="2024-04-19T00:00:00"/>
    <n v="350.22"/>
    <x v="0"/>
  </r>
  <r>
    <s v="CUST014"/>
    <s v="Emma Davis"/>
    <s v="West"/>
    <s v="Office Supplies"/>
    <n v="1572.82"/>
    <n v="6"/>
    <n v="0.05"/>
    <d v="2024-04-20T00:00:00"/>
    <n v="672.38"/>
    <x v="0"/>
  </r>
  <r>
    <s v="CUST014"/>
    <s v="David Thomas"/>
    <s v="Central"/>
    <s v="Books"/>
    <n v="1343.13"/>
    <n v="14"/>
    <n v="0.15"/>
    <d v="2024-04-22T00:00:00"/>
    <n v="456.66"/>
    <x v="0"/>
  </r>
  <r>
    <s v="CUST007"/>
    <s v="Michael Anderson"/>
    <s v="Central"/>
    <s v="Books"/>
    <n v="1191.58"/>
    <n v="14"/>
    <n v="0.05"/>
    <d v="2024-04-24T00:00:00"/>
    <n v="452.8"/>
    <x v="0"/>
  </r>
  <r>
    <s v="CUST023"/>
    <s v="Robert Anderson"/>
    <s v="West"/>
    <s v="Furniture"/>
    <n v="822.28"/>
    <n v="7"/>
    <n v="0.05"/>
    <d v="2024-04-24T00:00:00"/>
    <n v="273.41000000000003"/>
    <x v="0"/>
  </r>
  <r>
    <s v="CUST029"/>
    <s v="David Smith"/>
    <s v="North"/>
    <s v="Furniture"/>
    <n v="521.66999999999996"/>
    <n v="15"/>
    <n v="0.15"/>
    <d v="2024-04-27T00:00:00"/>
    <n v="155.19999999999999"/>
    <x v="0"/>
  </r>
  <r>
    <s v="CUST005"/>
    <s v="Sarah Anderson"/>
    <s v="South"/>
    <s v="Electronics"/>
    <n v="1502.93"/>
    <n v="14"/>
    <n v="0.2"/>
    <d v="2024-04-28T00:00:00"/>
    <n v="300.58999999999997"/>
    <x v="0"/>
  </r>
  <r>
    <s v="CUST008"/>
    <s v="Robert Anderson"/>
    <s v="South"/>
    <s v="Books"/>
    <n v="877.58"/>
    <n v="10"/>
    <n v="0.15"/>
    <d v="2024-04-29T00:00:00"/>
    <n v="298.38"/>
    <x v="0"/>
  </r>
  <r>
    <s v="CUST001"/>
    <s v="Lisa Thomas"/>
    <s v="West"/>
    <s v="Books"/>
    <n v="636.70000000000005"/>
    <n v="4"/>
    <n v="0.2"/>
    <d v="2024-04-29T00:00:00"/>
    <n v="203.74"/>
    <x v="0"/>
  </r>
  <r>
    <s v="CUST006"/>
    <s v="Mary Jackson"/>
    <s v="West"/>
    <s v="Books"/>
    <n v="1506.14"/>
    <n v="13"/>
    <n v="0.2"/>
    <d v="2024-04-30T00:00:00"/>
    <n v="481.96"/>
    <x v="0"/>
  </r>
  <r>
    <s v="CUST026"/>
    <s v="Mary Davis"/>
    <s v="Central"/>
    <s v="Electronics"/>
    <n v="645.02"/>
    <n v="4"/>
    <n v="0"/>
    <d v="2024-05-02T00:00:00"/>
    <n v="161.26"/>
    <x v="1"/>
  </r>
  <r>
    <s v="CUST007"/>
    <s v="Lisa Davis"/>
    <s v="South"/>
    <s v="Clothing"/>
    <n v="953.3"/>
    <n v="11"/>
    <n v="0"/>
    <d v="2024-05-03T00:00:00"/>
    <n v="476.65"/>
    <x v="1"/>
  </r>
  <r>
    <s v="CUST022"/>
    <s v="Robert Anderson"/>
    <s v="North"/>
    <s v="Electronics"/>
    <n v="388.56"/>
    <n v="14"/>
    <n v="0.15"/>
    <d v="2024-05-04T00:00:00"/>
    <n v="82.57"/>
    <x v="1"/>
  </r>
  <r>
    <s v="CUST019"/>
    <s v="Mary Davis"/>
    <s v="West"/>
    <s v="Books"/>
    <n v="743.17"/>
    <n v="9"/>
    <n v="0"/>
    <d v="2024-05-04T00:00:00"/>
    <n v="297.27"/>
    <x v="1"/>
  </r>
  <r>
    <s v="CUST023"/>
    <s v="Mary Davis"/>
    <s v="Central"/>
    <s v="Electronics"/>
    <n v="706.37"/>
    <n v="6"/>
    <n v="0"/>
    <d v="2024-05-04T00:00:00"/>
    <n v="176.59"/>
    <x v="1"/>
  </r>
  <r>
    <s v="CUST012"/>
    <s v="Mary Davis"/>
    <s v="Central"/>
    <s v="Office Supplies"/>
    <n v="925.31"/>
    <n v="8"/>
    <n v="0.1"/>
    <d v="2024-05-06T00:00:00"/>
    <n v="374.75"/>
    <x v="1"/>
  </r>
  <r>
    <s v="CUST010"/>
    <s v="Linda Brown"/>
    <s v="South"/>
    <s v="Electronics"/>
    <n v="1173.1199999999999"/>
    <n v="18"/>
    <n v="0"/>
    <d v="2024-05-06T00:00:00"/>
    <n v="293.27999999999997"/>
    <x v="1"/>
  </r>
  <r>
    <s v="CUST030"/>
    <s v="John Brown"/>
    <s v="North"/>
    <s v="Furniture"/>
    <n v="675.54"/>
    <n v="17"/>
    <n v="0"/>
    <d v="2024-05-08T00:00:00"/>
    <n v="236.44"/>
    <x v="1"/>
  </r>
  <r>
    <s v="CUST007"/>
    <s v="Robert Anderson"/>
    <s v="Central"/>
    <s v="Books"/>
    <n v="939.09"/>
    <n v="2"/>
    <n v="0.05"/>
    <d v="2024-05-10T00:00:00"/>
    <n v="356.85"/>
    <x v="1"/>
  </r>
  <r>
    <s v="CUST028"/>
    <s v="Linda Taylor"/>
    <s v="East"/>
    <s v="Office Supplies"/>
    <n v="983.34"/>
    <n v="19"/>
    <n v="0.1"/>
    <d v="2024-05-14T00:00:00"/>
    <n v="398.25"/>
    <x v="1"/>
  </r>
  <r>
    <s v="CUST028"/>
    <s v="James Wilson"/>
    <s v="South"/>
    <s v="Electronics"/>
    <n v="801.21"/>
    <n v="3"/>
    <n v="0.2"/>
    <d v="2024-05-14T00:00:00"/>
    <n v="160.24"/>
    <x v="1"/>
  </r>
  <r>
    <s v="CUST025"/>
    <s v="David Brown"/>
    <s v="North"/>
    <s v="Electronics"/>
    <n v="1450.71"/>
    <n v="5"/>
    <n v="0.1"/>
    <d v="2024-05-15T00:00:00"/>
    <n v="326.41000000000003"/>
    <x v="1"/>
  </r>
  <r>
    <s v="CUST022"/>
    <s v="David Davis"/>
    <s v="Central"/>
    <s v="Books"/>
    <n v="1023.21"/>
    <n v="18"/>
    <n v="0.05"/>
    <d v="2024-05-16T00:00:00"/>
    <n v="388.82"/>
    <x v="1"/>
  </r>
  <r>
    <s v="CUST001"/>
    <s v="Mary Jackson"/>
    <s v="West"/>
    <s v="Furniture"/>
    <n v="853.72"/>
    <n v="5"/>
    <n v="0.15"/>
    <d v="2024-05-16T00:00:00"/>
    <n v="253.98"/>
    <x v="1"/>
  </r>
  <r>
    <s v="CUST021"/>
    <s v="Sarah Anderson"/>
    <s v="South"/>
    <s v="Electronics"/>
    <n v="967.89"/>
    <n v="10"/>
    <n v="0.1"/>
    <d v="2024-05-17T00:00:00"/>
    <n v="217.78"/>
    <x v="1"/>
  </r>
  <r>
    <s v="CUST015"/>
    <s v="Linda Taylor"/>
    <s v="North"/>
    <s v="Office Supplies"/>
    <n v="1200.9000000000001"/>
    <n v="14"/>
    <n v="0.05"/>
    <d v="2024-05-17T00:00:00"/>
    <n v="513.38"/>
    <x v="1"/>
  </r>
  <r>
    <s v="CUST012"/>
    <s v="Michael Anderson"/>
    <s v="West"/>
    <s v="Books"/>
    <n v="472.38"/>
    <n v="12"/>
    <n v="0.2"/>
    <d v="2024-05-17T00:00:00"/>
    <n v="151.16"/>
    <x v="1"/>
  </r>
  <r>
    <s v="CUST019"/>
    <s v="David Brown"/>
    <s v="East"/>
    <s v="Office Supplies"/>
    <n v="840.92"/>
    <n v="9"/>
    <n v="0.05"/>
    <d v="2024-05-17T00:00:00"/>
    <n v="359.49"/>
    <x v="1"/>
  </r>
  <r>
    <s v="CUST028"/>
    <s v="Lisa Davis"/>
    <s v="Central"/>
    <s v="Furniture"/>
    <n v="1410.06"/>
    <n v="11"/>
    <n v="0.05"/>
    <d v="2024-05-22T00:00:00"/>
    <n v="468.84"/>
    <x v="1"/>
  </r>
  <r>
    <s v="CUST008"/>
    <s v="Mary Wilson"/>
    <s v="Central"/>
    <s v="Furniture"/>
    <n v="773.09"/>
    <n v="13"/>
    <n v="0.15"/>
    <d v="2024-05-22T00:00:00"/>
    <n v="229.99"/>
    <x v="1"/>
  </r>
  <r>
    <s v="CUST016"/>
    <s v="Emma Wilson"/>
    <s v="East"/>
    <s v="Books"/>
    <n v="580.42999999999995"/>
    <n v="19"/>
    <n v="0.15"/>
    <d v="2024-05-23T00:00:00"/>
    <n v="197.35"/>
    <x v="1"/>
  </r>
  <r>
    <s v="CUST005"/>
    <s v="David Smith"/>
    <s v="South"/>
    <s v="Books"/>
    <n v="1151.21"/>
    <n v="15"/>
    <n v="0.1"/>
    <d v="2024-06-02T00:00:00"/>
    <n v="414.44"/>
    <x v="2"/>
  </r>
  <r>
    <s v="CUST028"/>
    <s v="James Wilson"/>
    <s v="Central"/>
    <s v="Office Supplies"/>
    <n v="1025.98"/>
    <n v="5"/>
    <n v="0.2"/>
    <d v="2024-06-04T00:00:00"/>
    <n v="369.35"/>
    <x v="2"/>
  </r>
  <r>
    <s v="CUST023"/>
    <s v="David Davis"/>
    <s v="East"/>
    <s v="Office Supplies"/>
    <n v="556.41999999999996"/>
    <n v="11"/>
    <n v="0.15"/>
    <d v="2024-06-04T00:00:00"/>
    <n v="212.83"/>
    <x v="2"/>
  </r>
  <r>
    <s v="CUST021"/>
    <s v="James Wilson"/>
    <s v="Central"/>
    <s v="Books"/>
    <n v="840.85"/>
    <n v="19"/>
    <n v="0.1"/>
    <d v="2024-06-05T00:00:00"/>
    <n v="302.70999999999998"/>
    <x v="2"/>
  </r>
  <r>
    <s v="CUST026"/>
    <s v="Emma Wilson"/>
    <s v="North"/>
    <s v="Furniture"/>
    <n v="1227.25"/>
    <n v="12"/>
    <n v="0.15"/>
    <d v="2024-06-05T00:00:00"/>
    <n v="365.11"/>
    <x v="2"/>
  </r>
  <r>
    <s v="CUST017"/>
    <s v="Linda Davis"/>
    <s v="Central"/>
    <s v="Electronics"/>
    <n v="856.7"/>
    <n v="2"/>
    <n v="0"/>
    <d v="2024-06-06T00:00:00"/>
    <n v="214.18"/>
    <x v="2"/>
  </r>
  <r>
    <s v="CUST025"/>
    <s v="David Davis"/>
    <s v="Central"/>
    <s v="Office Supplies"/>
    <n v="1225.42"/>
    <n v="8"/>
    <n v="0.15"/>
    <d v="2024-06-06T00:00:00"/>
    <n v="468.72"/>
    <x v="2"/>
  </r>
  <r>
    <s v="CUST011"/>
    <s v="Mary Davis"/>
    <s v="North"/>
    <s v="Office Supplies"/>
    <n v="1001.57"/>
    <n v="12"/>
    <n v="0"/>
    <d v="2024-06-07T00:00:00"/>
    <n v="450.71"/>
    <x v="2"/>
  </r>
  <r>
    <s v="CUST021"/>
    <s v="Michael Anderson"/>
    <s v="East"/>
    <s v="Furniture"/>
    <n v="1186.8499999999999"/>
    <n v="19"/>
    <n v="0.2"/>
    <d v="2024-06-08T00:00:00"/>
    <n v="332.32"/>
    <x v="2"/>
  </r>
  <r>
    <s v="CUST008"/>
    <s v="John Brown"/>
    <s v="South"/>
    <s v="Electronics"/>
    <n v="775.45"/>
    <n v="6"/>
    <n v="0.1"/>
    <d v="2024-06-14T00:00:00"/>
    <n v="174.48"/>
    <x v="2"/>
  </r>
  <r>
    <s v="CUST007"/>
    <s v="Linda Jackson"/>
    <s v="South"/>
    <s v="Electronics"/>
    <n v="1021.47"/>
    <n v="6"/>
    <n v="0.05"/>
    <d v="2024-06-18T00:00:00"/>
    <n v="242.6"/>
    <x v="2"/>
  </r>
  <r>
    <s v="CUST015"/>
    <s v="James Wilson"/>
    <s v="South"/>
    <s v="Clothing"/>
    <n v="1226.6199999999999"/>
    <n v="7"/>
    <n v="0.1"/>
    <d v="2024-06-20T00:00:00"/>
    <n v="551.98"/>
    <x v="2"/>
  </r>
  <r>
    <s v="CUST030"/>
    <s v="Sarah Davis"/>
    <s v="South"/>
    <s v="Furniture"/>
    <n v="1086.93"/>
    <n v="2"/>
    <n v="0"/>
    <d v="2024-06-21T00:00:00"/>
    <n v="380.43"/>
    <x v="2"/>
  </r>
  <r>
    <s v="CUST002"/>
    <s v="Lisa Davis"/>
    <s v="West"/>
    <s v="Books"/>
    <n v="942.9"/>
    <n v="18"/>
    <n v="0.1"/>
    <d v="2024-06-23T00:00:00"/>
    <n v="339.44"/>
    <x v="2"/>
  </r>
  <r>
    <s v="CUST009"/>
    <s v="Emma Davis"/>
    <s v="North"/>
    <s v="Electronics"/>
    <n v="818.8"/>
    <n v="15"/>
    <n v="0.15"/>
    <d v="2024-06-25T00:00:00"/>
    <n v="173.99"/>
    <x v="2"/>
  </r>
  <r>
    <s v="CUST005"/>
    <s v="Robert Anderson"/>
    <s v="South"/>
    <s v="Furniture"/>
    <n v="919.04"/>
    <n v="10"/>
    <n v="0.2"/>
    <d v="2024-06-25T00:00:00"/>
    <n v="257.33"/>
    <x v="2"/>
  </r>
  <r>
    <s v="CUST030"/>
    <s v="Emma Taylor"/>
    <s v="Central"/>
    <s v="Books"/>
    <n v="973.26"/>
    <n v="11"/>
    <n v="0"/>
    <d v="2024-06-27T00:00:00"/>
    <n v="389.3"/>
    <x v="2"/>
  </r>
  <r>
    <s v="CUST029"/>
    <s v="Sarah Davis"/>
    <s v="North"/>
    <s v="Electronics"/>
    <n v="741.61"/>
    <n v="1"/>
    <n v="0.2"/>
    <d v="2024-06-28T00:00:00"/>
    <n v="148.32"/>
    <x v="2"/>
  </r>
  <r>
    <s v="CUST003"/>
    <s v="Emma Davis"/>
    <s v="North"/>
    <s v="Books"/>
    <n v="1248.82"/>
    <n v="2"/>
    <n v="0.1"/>
    <d v="2024-06-30T00:00:00"/>
    <n v="449.58"/>
    <x v="2"/>
  </r>
  <r>
    <s v="CUST012"/>
    <s v="Mary Wilson"/>
    <s v="West"/>
    <s v="Clothing"/>
    <n v="1360.36"/>
    <n v="17"/>
    <n v="0"/>
    <d v="2024-06-30T00:00:00"/>
    <n v="680.18"/>
    <x v="2"/>
  </r>
  <r>
    <s v="CUST021"/>
    <s v="Mary Davis"/>
    <s v="East"/>
    <s v="Books"/>
    <n v="1383.3"/>
    <n v="8"/>
    <n v="0.1"/>
    <d v="2024-07-05T00:00:00"/>
    <n v="497.99"/>
    <x v="3"/>
  </r>
  <r>
    <s v="CUST010"/>
    <s v="David Brown"/>
    <s v="Central"/>
    <s v="Office Supplies"/>
    <n v="488.99"/>
    <n v="9"/>
    <n v="0"/>
    <d v="2024-07-06T00:00:00"/>
    <n v="220.05"/>
    <x v="3"/>
  </r>
  <r>
    <s v="CUST026"/>
    <s v="Mary Davis"/>
    <s v="East"/>
    <s v="Furniture"/>
    <n v="933.71"/>
    <n v="17"/>
    <n v="0.1"/>
    <d v="2024-07-08T00:00:00"/>
    <n v="294.12"/>
    <x v="3"/>
  </r>
  <r>
    <s v="CUST003"/>
    <s v="James Davis"/>
    <s v="West"/>
    <s v="Electronics"/>
    <n v="1005.53"/>
    <n v="17"/>
    <n v="0.2"/>
    <d v="2024-07-08T00:00:00"/>
    <n v="201.11"/>
    <x v="3"/>
  </r>
  <r>
    <s v="CUST029"/>
    <s v="Emma Wilson"/>
    <s v="South"/>
    <s v="Electronics"/>
    <n v="1100.0999999999999"/>
    <n v="5"/>
    <n v="0.05"/>
    <d v="2024-07-09T00:00:00"/>
    <n v="261.27"/>
    <x v="3"/>
  </r>
  <r>
    <s v="CUST003"/>
    <s v="James Wilson"/>
    <s v="North"/>
    <s v="Furniture"/>
    <n v="1034.7"/>
    <n v="15"/>
    <n v="0.15"/>
    <d v="2024-07-14T00:00:00"/>
    <n v="307.82"/>
    <x v="3"/>
  </r>
  <r>
    <s v="CUST002"/>
    <s v="Mary Davis"/>
    <s v="South"/>
    <s v="Books"/>
    <n v="876.44"/>
    <n v="12"/>
    <n v="0.05"/>
    <d v="2024-07-15T00:00:00"/>
    <n v="333.05"/>
    <x v="3"/>
  </r>
  <r>
    <s v="CUST020"/>
    <s v="David Brown"/>
    <s v="West"/>
    <s v="Furniture"/>
    <n v="1371.34"/>
    <n v="5"/>
    <n v="0.05"/>
    <d v="2024-07-15T00:00:00"/>
    <n v="455.97"/>
    <x v="3"/>
  </r>
  <r>
    <s v="CUST021"/>
    <s v="Mary Jackson"/>
    <s v="North"/>
    <s v="Electronics"/>
    <n v="1020.26"/>
    <n v="11"/>
    <n v="0.05"/>
    <d v="2024-07-21T00:00:00"/>
    <n v="242.31"/>
    <x v="3"/>
  </r>
  <r>
    <s v="CUST008"/>
    <s v="James Davis"/>
    <s v="Central"/>
    <s v="Office Supplies"/>
    <n v="804.81"/>
    <n v="1"/>
    <n v="0.05"/>
    <d v="2024-07-29T00:00:00"/>
    <n v="344.06"/>
    <x v="3"/>
  </r>
  <r>
    <s v="CUST030"/>
    <s v="David Brown"/>
    <s v="Central"/>
    <s v="Electronics"/>
    <n v="608.66"/>
    <n v="1"/>
    <n v="0.05"/>
    <d v="2024-07-30T00:00:00"/>
    <n v="144.56"/>
    <x v="3"/>
  </r>
  <r>
    <s v="CUST020"/>
    <s v="Linda Moore"/>
    <s v="South"/>
    <s v="Office Supplies"/>
    <n v="981.2"/>
    <n v="19"/>
    <n v="0"/>
    <d v="2024-07-31T00:00:00"/>
    <n v="441.54"/>
    <x v="3"/>
  </r>
  <r>
    <s v="CUST024"/>
    <s v="David Brown"/>
    <s v="East"/>
    <s v="Electronics"/>
    <n v="539.77"/>
    <n v="10"/>
    <n v="0.15"/>
    <d v="2024-08-05T00:00:00"/>
    <n v="114.7"/>
    <x v="4"/>
  </r>
  <r>
    <s v="CUST012"/>
    <s v="David Anderson"/>
    <s v="South"/>
    <s v="Books"/>
    <n v="804.45"/>
    <n v="5"/>
    <n v="0.2"/>
    <d v="2024-08-05T00:00:00"/>
    <n v="257.42"/>
    <x v="4"/>
  </r>
  <r>
    <s v="CUST024"/>
    <s v="Emma Davis"/>
    <s v="West"/>
    <s v="Electronics"/>
    <n v="1526.6"/>
    <n v="13"/>
    <n v="0.2"/>
    <d v="2024-08-08T00:00:00"/>
    <n v="305.32"/>
    <x v="4"/>
  </r>
  <r>
    <s v="CUST012"/>
    <s v="Linda Wilson"/>
    <s v="West"/>
    <s v="Electronics"/>
    <n v="1215.26"/>
    <n v="5"/>
    <n v="0.15"/>
    <d v="2024-08-09T00:00:00"/>
    <n v="258.24"/>
    <x v="4"/>
  </r>
  <r>
    <s v="CUST005"/>
    <s v="Linda Taylor"/>
    <s v="Central"/>
    <s v="Furniture"/>
    <n v="1261.3399999999999"/>
    <n v="3"/>
    <n v="0"/>
    <d v="2024-08-15T00:00:00"/>
    <n v="441.47"/>
    <x v="4"/>
  </r>
  <r>
    <s v="CUST004"/>
    <s v="Lisa Thomas"/>
    <s v="North"/>
    <s v="Furniture"/>
    <n v="518.07000000000005"/>
    <n v="7"/>
    <n v="0.05"/>
    <d v="2024-08-18T00:00:00"/>
    <n v="172.26"/>
    <x v="4"/>
  </r>
  <r>
    <s v="CUST026"/>
    <s v="Linda Wilson"/>
    <s v="West"/>
    <s v="Office Supplies"/>
    <n v="1111.3399999999999"/>
    <n v="1"/>
    <n v="0"/>
    <d v="2024-08-19T00:00:00"/>
    <n v="500.1"/>
    <x v="4"/>
  </r>
  <r>
    <s v="CUST030"/>
    <s v="Mary Davis"/>
    <s v="East"/>
    <s v="Clothing"/>
    <n v="1291.47"/>
    <n v="18"/>
    <n v="0.1"/>
    <d v="2024-08-22T00:00:00"/>
    <n v="581.16"/>
    <x v="4"/>
  </r>
  <r>
    <s v="CUST007"/>
    <s v="David Brown"/>
    <s v="North"/>
    <s v="Books"/>
    <n v="679.71"/>
    <n v="19"/>
    <n v="0"/>
    <d v="2024-08-30T00:00:00"/>
    <n v="271.88"/>
    <x v="4"/>
  </r>
  <r>
    <s v="CUST020"/>
    <s v="Linda Jackson"/>
    <s v="East"/>
    <s v="Furniture"/>
    <n v="1143.69"/>
    <n v="17"/>
    <n v="0"/>
    <d v="2024-08-30T00:00:00"/>
    <n v="400.29"/>
    <x v="4"/>
  </r>
  <r>
    <s v="CUST028"/>
    <s v="Linda Brown"/>
    <s v="Central"/>
    <s v="Electronics"/>
    <n v="790.08"/>
    <n v="7"/>
    <n v="0.1"/>
    <d v="2024-09-01T00:00:00"/>
    <n v="177.77"/>
    <x v="5"/>
  </r>
  <r>
    <s v="CUST005"/>
    <s v="Lisa Davis"/>
    <s v="Central"/>
    <s v="Books"/>
    <n v="1070.68"/>
    <n v="7"/>
    <n v="0.05"/>
    <d v="2024-09-01T00:00:00"/>
    <n v="406.86"/>
    <x v="5"/>
  </r>
  <r>
    <s v="CUST015"/>
    <s v="David Thomas"/>
    <s v="West"/>
    <s v="Clothing"/>
    <n v="1168.8900000000001"/>
    <n v="4"/>
    <n v="0.1"/>
    <d v="2024-09-09T00:00:00"/>
    <n v="526"/>
    <x v="5"/>
  </r>
  <r>
    <s v="CUST003"/>
    <s v="James Davis"/>
    <s v="South"/>
    <s v="Electronics"/>
    <n v="1335.87"/>
    <n v="17"/>
    <n v="0"/>
    <d v="2024-09-09T00:00:00"/>
    <n v="333.97"/>
    <x v="5"/>
  </r>
  <r>
    <s v="CUST023"/>
    <s v="David Brown"/>
    <s v="East"/>
    <s v="Furniture"/>
    <n v="873.7"/>
    <n v="9"/>
    <n v="0"/>
    <d v="2024-09-11T00:00:00"/>
    <n v="305.8"/>
    <x v="5"/>
  </r>
  <r>
    <s v="CUST004"/>
    <s v="Sarah Davis"/>
    <s v="West"/>
    <s v="Office Supplies"/>
    <n v="1443.98"/>
    <n v="19"/>
    <n v="0"/>
    <d v="2024-09-12T00:00:00"/>
    <n v="649.79"/>
    <x v="5"/>
  </r>
  <r>
    <s v="CUST023"/>
    <s v="James Wilson"/>
    <s v="East"/>
    <s v="Office Supplies"/>
    <n v="1154.33"/>
    <n v="11"/>
    <n v="0.15"/>
    <d v="2024-09-14T00:00:00"/>
    <n v="441.53"/>
    <x v="5"/>
  </r>
  <r>
    <s v="CUST022"/>
    <s v="Linda Brown"/>
    <s v="South"/>
    <s v="Books"/>
    <n v="1264.49"/>
    <n v="16"/>
    <n v="0.05"/>
    <d v="2024-09-14T00:00:00"/>
    <n v="480.51"/>
    <x v="5"/>
  </r>
  <r>
    <s v="CUST007"/>
    <s v="Emma Taylor"/>
    <s v="West"/>
    <s v="Furniture"/>
    <n v="1101.55"/>
    <n v="4"/>
    <n v="0.1"/>
    <d v="2024-09-16T00:00:00"/>
    <n v="346.99"/>
    <x v="5"/>
  </r>
  <r>
    <s v="CUST013"/>
    <s v="Robert Anderson"/>
    <s v="South"/>
    <s v="Furniture"/>
    <n v="727.73"/>
    <n v="1"/>
    <n v="0.1"/>
    <d v="2024-09-17T00:00:00"/>
    <n v="229.23"/>
    <x v="5"/>
  </r>
  <r>
    <s v="CUST027"/>
    <s v="Emma Davis"/>
    <s v="East"/>
    <s v="Office Supplies"/>
    <n v="875.41"/>
    <n v="13"/>
    <n v="0.15"/>
    <d v="2024-09-17T00:00:00"/>
    <n v="334.84"/>
    <x v="5"/>
  </r>
  <r>
    <s v="CUST003"/>
    <s v="James Wilson"/>
    <s v="West"/>
    <s v="Electronics"/>
    <n v="1158.94"/>
    <n v="19"/>
    <n v="0.2"/>
    <d v="2024-09-18T00:00:00"/>
    <n v="231.79"/>
    <x v="5"/>
  </r>
  <r>
    <s v="CUST018"/>
    <s v="Mary Jackson"/>
    <s v="South"/>
    <s v="Books"/>
    <n v="966.3"/>
    <n v="2"/>
    <n v="0.15"/>
    <d v="2024-09-22T00:00:00"/>
    <n v="328.54"/>
    <x v="5"/>
  </r>
  <r>
    <s v="CUST020"/>
    <s v="James Taylor"/>
    <s v="South"/>
    <s v="Books"/>
    <n v="917.48"/>
    <n v="6"/>
    <n v="0"/>
    <d v="2024-09-23T00:00:00"/>
    <n v="366.99"/>
    <x v="5"/>
  </r>
  <r>
    <s v="CUST029"/>
    <s v="Emma Wilson"/>
    <s v="West"/>
    <s v="Furniture"/>
    <n v="1172.97"/>
    <n v="7"/>
    <n v="0.15"/>
    <d v="2024-09-24T00:00:00"/>
    <n v="348.96"/>
    <x v="5"/>
  </r>
  <r>
    <s v="CUST021"/>
    <s v="James Wilson"/>
    <s v="North"/>
    <s v="Clothing"/>
    <n v="1205.82"/>
    <n v="11"/>
    <n v="0.1"/>
    <d v="2024-09-24T00:00:00"/>
    <n v="542.62"/>
    <x v="5"/>
  </r>
  <r>
    <s v="CUST017"/>
    <s v="Sarah Davis"/>
    <s v="West"/>
    <s v="Office Supplies"/>
    <n v="826.93"/>
    <n v="10"/>
    <n v="0.2"/>
    <d v="2024-09-29T00:00:00"/>
    <n v="297.69"/>
    <x v="5"/>
  </r>
  <r>
    <s v="CUST003"/>
    <s v="James Wilson"/>
    <s v="Central"/>
    <s v="Clothing"/>
    <n v="902.19"/>
    <n v="12"/>
    <n v="0"/>
    <d v="2024-09-29T00:00:00"/>
    <n v="451.1"/>
    <x v="5"/>
  </r>
  <r>
    <s v="CUST027"/>
    <s v="Emma Davis"/>
    <s v="North"/>
    <s v="Books"/>
    <n v="585.97"/>
    <n v="17"/>
    <n v="0.1"/>
    <d v="2024-09-30T00:00:00"/>
    <n v="210.95"/>
    <x v="5"/>
  </r>
  <r>
    <s v="CUST016"/>
    <s v="Michael Anderson"/>
    <s v="North"/>
    <s v="Clothing"/>
    <n v="990.19"/>
    <n v="8"/>
    <n v="0.1"/>
    <d v="2024-09-30T00:00:00"/>
    <n v="445.59"/>
    <x v="5"/>
  </r>
  <r>
    <s v="CUST008"/>
    <s v="David Davis"/>
    <s v="Central"/>
    <s v="Electronics"/>
    <n v="1014.09"/>
    <n v="13"/>
    <n v="0.2"/>
    <d v="2024-10-02T00:00:00"/>
    <n v="202.82"/>
    <x v="6"/>
  </r>
  <r>
    <s v="CUST012"/>
    <s v="Lisa Davis"/>
    <s v="North"/>
    <s v="Electronics"/>
    <n v="925.29"/>
    <n v="17"/>
    <n v="0"/>
    <d v="2024-10-05T00:00:00"/>
    <n v="231.32"/>
    <x v="6"/>
  </r>
  <r>
    <s v="CUST025"/>
    <s v="Mary Jackson"/>
    <s v="East"/>
    <s v="Furniture"/>
    <n v="1286.54"/>
    <n v="8"/>
    <n v="0"/>
    <d v="2024-10-10T00:00:00"/>
    <n v="450.29"/>
    <x v="6"/>
  </r>
  <r>
    <s v="CUST014"/>
    <s v="Sarah Davis"/>
    <s v="South"/>
    <s v="Books"/>
    <n v="961.62"/>
    <n v="8"/>
    <n v="0.2"/>
    <d v="2024-10-12T00:00:00"/>
    <n v="307.72000000000003"/>
    <x v="6"/>
  </r>
  <r>
    <s v="CUST008"/>
    <s v="James Wilson"/>
    <s v="East"/>
    <s v="Books"/>
    <n v="1081.1400000000001"/>
    <n v="19"/>
    <n v="0.15"/>
    <d v="2024-10-12T00:00:00"/>
    <n v="367.59"/>
    <x v="6"/>
  </r>
  <r>
    <s v="CUST015"/>
    <s v="James Wilson"/>
    <s v="West"/>
    <s v="Clothing"/>
    <n v="1923.66"/>
    <n v="9"/>
    <n v="0.2"/>
    <d v="2024-10-15T00:00:00"/>
    <n v="769.46"/>
    <x v="6"/>
  </r>
  <r>
    <s v="CUST025"/>
    <s v="Emma Taylor"/>
    <s v="Central"/>
    <s v="Clothing"/>
    <n v="728.71"/>
    <n v="14"/>
    <n v="0.1"/>
    <d v="2024-10-16T00:00:00"/>
    <n v="327.92"/>
    <x v="6"/>
  </r>
  <r>
    <s v="CUST019"/>
    <s v="Linda Jackson"/>
    <s v="Central"/>
    <s v="Clothing"/>
    <n v="1301.8900000000001"/>
    <n v="7"/>
    <n v="0.15"/>
    <d v="2024-10-16T00:00:00"/>
    <n v="553.29999999999995"/>
    <x v="6"/>
  </r>
  <r>
    <s v="CUST024"/>
    <s v="Emma Taylor"/>
    <s v="East"/>
    <s v="Books"/>
    <n v="980.18"/>
    <n v="16"/>
    <n v="0.1"/>
    <d v="2024-10-17T00:00:00"/>
    <n v="352.86"/>
    <x v="6"/>
  </r>
  <r>
    <s v="CUST027"/>
    <s v="James Wilson"/>
    <s v="West"/>
    <s v="Clothing"/>
    <n v="697.57"/>
    <n v="17"/>
    <n v="0.1"/>
    <d v="2024-10-19T00:00:00"/>
    <n v="313.91000000000003"/>
    <x v="6"/>
  </r>
  <r>
    <s v="CUST006"/>
    <s v="David Anderson"/>
    <s v="West"/>
    <s v="Furniture"/>
    <n v="1193.6099999999999"/>
    <n v="1"/>
    <n v="0.15"/>
    <d v="2024-10-19T00:00:00"/>
    <n v="355.1"/>
    <x v="6"/>
  </r>
  <r>
    <s v="CUST009"/>
    <s v="Emma Davis"/>
    <s v="South"/>
    <s v="Electronics"/>
    <n v="771.02"/>
    <n v="1"/>
    <n v="0"/>
    <d v="2024-10-20T00:00:00"/>
    <n v="192.76"/>
    <x v="6"/>
  </r>
  <r>
    <s v="CUST003"/>
    <s v="Linda Moore"/>
    <s v="North"/>
    <s v="Clothing"/>
    <n v="661.09"/>
    <n v="1"/>
    <n v="0.2"/>
    <d v="2024-10-28T00:00:00"/>
    <n v="264.44"/>
    <x v="6"/>
  </r>
  <r>
    <s v="CUST012"/>
    <s v="David Brown"/>
    <s v="West"/>
    <s v="Electronics"/>
    <n v="688.83"/>
    <n v="15"/>
    <n v="0"/>
    <d v="2024-10-30T00:00:00"/>
    <n v="172.21"/>
    <x v="6"/>
  </r>
  <r>
    <s v="CUST013"/>
    <s v="Linda Wilson"/>
    <s v="Central"/>
    <s v="Books"/>
    <n v="1249.0999999999999"/>
    <n v="4"/>
    <n v="0.05"/>
    <d v="2024-11-01T00:00:00"/>
    <n v="474.66"/>
    <x v="7"/>
  </r>
  <r>
    <s v="CUST008"/>
    <s v="James Wilson"/>
    <s v="East"/>
    <s v="Office Supplies"/>
    <n v="1014.22"/>
    <n v="14"/>
    <n v="0.05"/>
    <d v="2024-11-03T00:00:00"/>
    <n v="433.58"/>
    <x v="7"/>
  </r>
  <r>
    <s v="CUST025"/>
    <s v="Lisa Davis"/>
    <s v="East"/>
    <s v="Books"/>
    <n v="1010.58"/>
    <n v="2"/>
    <n v="0.15"/>
    <d v="2024-11-09T00:00:00"/>
    <n v="343.6"/>
    <x v="7"/>
  </r>
  <r>
    <s v="CUST026"/>
    <s v="Mary Wilson"/>
    <s v="North"/>
    <s v="Furniture"/>
    <n v="957.29"/>
    <n v="4"/>
    <n v="0.05"/>
    <d v="2024-11-09T00:00:00"/>
    <n v="318.3"/>
    <x v="7"/>
  </r>
  <r>
    <s v="CUST001"/>
    <s v="Lisa Thomas"/>
    <s v="North"/>
    <s v="Furniture"/>
    <n v="1077.92"/>
    <n v="3"/>
    <n v="0.05"/>
    <d v="2024-11-12T00:00:00"/>
    <n v="358.41"/>
    <x v="7"/>
  </r>
  <r>
    <s v="CUST028"/>
    <s v="Linda Brown"/>
    <s v="South"/>
    <s v="Clothing"/>
    <n v="1163.01"/>
    <n v="5"/>
    <n v="0"/>
    <d v="2024-11-15T00:00:00"/>
    <n v="581.5"/>
    <x v="7"/>
  </r>
  <r>
    <s v="CUST025"/>
    <s v="Lisa Thomas"/>
    <s v="East"/>
    <s v="Office Supplies"/>
    <n v="1014.56"/>
    <n v="10"/>
    <n v="0.1"/>
    <d v="2024-11-16T00:00:00"/>
    <n v="410.9"/>
    <x v="7"/>
  </r>
  <r>
    <s v="CUST019"/>
    <s v="James Taylor"/>
    <s v="South"/>
    <s v="Electronics"/>
    <n v="718.04"/>
    <n v="14"/>
    <n v="0"/>
    <d v="2024-11-17T00:00:00"/>
    <n v="179.51"/>
    <x v="7"/>
  </r>
  <r>
    <s v="CUST004"/>
    <s v="James Taylor"/>
    <s v="Central"/>
    <s v="Clothing"/>
    <n v="1277.8499999999999"/>
    <n v="18"/>
    <n v="0.2"/>
    <d v="2024-11-17T00:00:00"/>
    <n v="511.14"/>
    <x v="7"/>
  </r>
  <r>
    <s v="CUST024"/>
    <s v="James Wilson"/>
    <s v="North"/>
    <s v="Electronics"/>
    <n v="706.73"/>
    <n v="1"/>
    <n v="0.15"/>
    <d v="2024-11-17T00:00:00"/>
    <n v="150.18"/>
    <x v="7"/>
  </r>
  <r>
    <s v="CUST002"/>
    <s v="Linda Brown"/>
    <s v="East"/>
    <s v="Electronics"/>
    <n v="1410.59"/>
    <n v="15"/>
    <n v="0"/>
    <d v="2024-11-19T00:00:00"/>
    <n v="352.65"/>
    <x v="7"/>
  </r>
  <r>
    <s v="CUST009"/>
    <s v="Emma Wilson"/>
    <s v="South"/>
    <s v="Furniture"/>
    <n v="1350.33"/>
    <n v="10"/>
    <n v="0"/>
    <d v="2024-11-19T00:00:00"/>
    <n v="472.62"/>
    <x v="7"/>
  </r>
  <r>
    <s v="CUST029"/>
    <s v="Lisa Thomas"/>
    <s v="East"/>
    <s v="Electronics"/>
    <n v="919.18"/>
    <n v="4"/>
    <n v="0.15"/>
    <d v="2024-11-19T00:00:00"/>
    <n v="195.33"/>
    <x v="7"/>
  </r>
  <r>
    <s v="CUST027"/>
    <s v="James Wilson"/>
    <s v="West"/>
    <s v="Electronics"/>
    <n v="258.51"/>
    <n v="19"/>
    <n v="0"/>
    <d v="2024-11-20T00:00:00"/>
    <n v="64.63"/>
    <x v="7"/>
  </r>
  <r>
    <s v="CUST011"/>
    <s v="Emma Wilson"/>
    <s v="East"/>
    <s v="Books"/>
    <n v="1213.48"/>
    <n v="5"/>
    <n v="0.05"/>
    <d v="2024-11-20T00:00:00"/>
    <n v="461.12"/>
    <x v="7"/>
  </r>
  <r>
    <s v="CUST021"/>
    <s v="Emma Davis"/>
    <s v="Central"/>
    <s v="Books"/>
    <n v="1150.28"/>
    <n v="8"/>
    <n v="0.05"/>
    <d v="2024-11-26T00:00:00"/>
    <n v="437.11"/>
    <x v="7"/>
  </r>
  <r>
    <s v="CUST014"/>
    <s v="David Anderson"/>
    <s v="South"/>
    <s v="Furniture"/>
    <n v="853.86"/>
    <n v="8"/>
    <n v="0.1"/>
    <d v="2024-11-26T00:00:00"/>
    <n v="268.97000000000003"/>
    <x v="7"/>
  </r>
  <r>
    <s v="CUST018"/>
    <s v="Lisa Thomas"/>
    <s v="South"/>
    <s v="Electronics"/>
    <n v="1061.04"/>
    <n v="1"/>
    <n v="0"/>
    <d v="2024-11-28T00:00:00"/>
    <n v="265.26"/>
    <x v="7"/>
  </r>
  <r>
    <s v="CUST001"/>
    <s v="Sarah Anderson"/>
    <s v="West"/>
    <s v="Electronics"/>
    <n v="894.55"/>
    <n v="19"/>
    <n v="0.2"/>
    <d v="2024-11-29T00:00:00"/>
    <n v="178.91"/>
    <x v="7"/>
  </r>
  <r>
    <s v="CUST007"/>
    <s v="Emma Davis"/>
    <s v="North"/>
    <s v="Office Supplies"/>
    <n v="833.91"/>
    <n v="3"/>
    <n v="0.05"/>
    <d v="2024-11-30T00:00:00"/>
    <n v="356.5"/>
    <x v="7"/>
  </r>
  <r>
    <s v="CUST015"/>
    <s v="David Anderson"/>
    <s v="West"/>
    <s v="Furniture"/>
    <n v="820.19"/>
    <n v="4"/>
    <n v="0.2"/>
    <d v="2024-12-04T00:00:00"/>
    <n v="229.65"/>
    <x v="8"/>
  </r>
  <r>
    <s v="CUST015"/>
    <s v="Emma Davis"/>
    <s v="Central"/>
    <s v="Electronics"/>
    <n v="511.74"/>
    <n v="8"/>
    <n v="0.05"/>
    <d v="2024-12-05T00:00:00"/>
    <n v="121.54"/>
    <x v="8"/>
  </r>
  <r>
    <s v="CUST002"/>
    <s v="Emma Wilson"/>
    <s v="South"/>
    <s v="Furniture"/>
    <n v="806.03"/>
    <n v="19"/>
    <n v="0.05"/>
    <d v="2024-12-12T00:00:00"/>
    <n v="268"/>
    <x v="8"/>
  </r>
  <r>
    <s v="CUST001"/>
    <s v="Michael Anderson"/>
    <s v="Central"/>
    <s v="Furniture"/>
    <n v="1432.47"/>
    <n v="16"/>
    <n v="0.15"/>
    <d v="2024-12-14T00:00:00"/>
    <n v="426.16"/>
    <x v="8"/>
  </r>
  <r>
    <s v="CUST027"/>
    <s v="Linda Wilson"/>
    <s v="Central"/>
    <s v="Electronics"/>
    <n v="1488.58"/>
    <n v="10"/>
    <n v="0.15"/>
    <d v="2024-12-14T00:00:00"/>
    <n v="316.32"/>
    <x v="8"/>
  </r>
  <r>
    <s v="CUST026"/>
    <s v="Emma Taylor"/>
    <s v="East"/>
    <s v="Books"/>
    <n v="1231.26"/>
    <n v="9"/>
    <n v="0"/>
    <d v="2024-12-20T00:00:00"/>
    <n v="492.5"/>
    <x v="8"/>
  </r>
  <r>
    <s v="CUST026"/>
    <s v="Sarah Anderson"/>
    <s v="West"/>
    <s v="Electronics"/>
    <n v="1161.67"/>
    <n v="19"/>
    <n v="0.2"/>
    <d v="2024-12-21T00:00:00"/>
    <n v="232.33"/>
    <x v="8"/>
  </r>
  <r>
    <s v="CUST022"/>
    <s v="Lisa Thomas"/>
    <s v="Central"/>
    <s v="Office Supplies"/>
    <n v="388.23"/>
    <n v="16"/>
    <n v="0.05"/>
    <d v="2024-12-24T00:00:00"/>
    <n v="165.97"/>
    <x v="8"/>
  </r>
  <r>
    <s v="CUST004"/>
    <s v="Mary Davis"/>
    <s v="North"/>
    <s v="Clothing"/>
    <n v="1589.42"/>
    <n v="6"/>
    <n v="0.15"/>
    <d v="2024-12-25T00:00:00"/>
    <n v="675.5"/>
    <x v="8"/>
  </r>
  <r>
    <s v="CUST001"/>
    <s v="David Anderson"/>
    <s v="North"/>
    <s v="Clothing"/>
    <n v="336.66"/>
    <n v="13"/>
    <n v="0.2"/>
    <d v="2024-12-25T00:00:00"/>
    <n v="134.66"/>
    <x v="8"/>
  </r>
  <r>
    <s v="CUST022"/>
    <s v="James Wilson"/>
    <s v="West"/>
    <s v="Books"/>
    <n v="1353.79"/>
    <n v="14"/>
    <n v="0.1"/>
    <d v="2024-12-30T00:00:00"/>
    <n v="487.36"/>
    <x v="8"/>
  </r>
  <r>
    <s v="CUST011"/>
    <s v="Linda Moore"/>
    <s v="Central"/>
    <s v="Clothing"/>
    <n v="662.61"/>
    <n v="11"/>
    <n v="0.05"/>
    <d v="2025-01-01T00:00:00"/>
    <n v="314.74"/>
    <x v="9"/>
  </r>
  <r>
    <s v="CUST028"/>
    <s v="Lisa Davis"/>
    <s v="North"/>
    <s v="Office Supplies"/>
    <n v="309.42"/>
    <n v="1"/>
    <n v="0.2"/>
    <d v="2025-01-01T00:00:00"/>
    <n v="111.39"/>
    <x v="9"/>
  </r>
  <r>
    <s v="CUST011"/>
    <s v="Linda Wilson"/>
    <s v="North"/>
    <s v="Books"/>
    <n v="884.63"/>
    <n v="18"/>
    <n v="0.1"/>
    <d v="2025-01-02T00:00:00"/>
    <n v="318.47000000000003"/>
    <x v="9"/>
  </r>
  <r>
    <s v="CUST028"/>
    <s v="James Wilson"/>
    <s v="Central"/>
    <s v="Office Supplies"/>
    <n v="745.05"/>
    <n v="10"/>
    <n v="0.1"/>
    <d v="2025-01-03T00:00:00"/>
    <n v="301.75"/>
    <x v="9"/>
  </r>
  <r>
    <s v="CUST016"/>
    <s v="James Taylor"/>
    <s v="South"/>
    <s v="Clothing"/>
    <n v="870.23"/>
    <n v="5"/>
    <n v="0.05"/>
    <d v="2025-01-03T00:00:00"/>
    <n v="413.36"/>
    <x v="9"/>
  </r>
  <r>
    <s v="CUST010"/>
    <s v="Linda Wilson"/>
    <s v="West"/>
    <s v="Furniture"/>
    <n v="862.19"/>
    <n v="18"/>
    <n v="0.05"/>
    <d v="2025-01-06T00:00:00"/>
    <n v="286.68"/>
    <x v="9"/>
  </r>
  <r>
    <s v="CUST013"/>
    <s v="Mary Wilson"/>
    <s v="North"/>
    <s v="Clothing"/>
    <n v="1171.18"/>
    <n v="19"/>
    <n v="0.05"/>
    <d v="2025-01-10T00:00:00"/>
    <n v="556.30999999999995"/>
    <x v="9"/>
  </r>
  <r>
    <s v="CUST015"/>
    <s v="Robert Anderson"/>
    <s v="South"/>
    <s v="Furniture"/>
    <n v="1054.56"/>
    <n v="11"/>
    <n v="0.1"/>
    <d v="2025-01-12T00:00:00"/>
    <n v="332.19"/>
    <x v="9"/>
  </r>
  <r>
    <s v="CUST015"/>
    <s v="James Wilson"/>
    <s v="North"/>
    <s v="Electronics"/>
    <n v="1681.21"/>
    <n v="5"/>
    <n v="0.2"/>
    <d v="2025-01-13T00:00:00"/>
    <n v="336.24"/>
    <x v="9"/>
  </r>
  <r>
    <s v="CUST015"/>
    <s v="David Thomas"/>
    <s v="West"/>
    <s v="Clothing"/>
    <n v="379.77"/>
    <n v="9"/>
    <n v="0.05"/>
    <d v="2025-01-16T00:00:00"/>
    <n v="180.39"/>
    <x v="9"/>
  </r>
  <r>
    <s v="CUST008"/>
    <s v="Lisa Thomas"/>
    <s v="Central"/>
    <s v="Clothing"/>
    <n v="1076.33"/>
    <n v="2"/>
    <n v="0.1"/>
    <d v="2025-01-17T00:00:00"/>
    <n v="484.35"/>
    <x v="9"/>
  </r>
  <r>
    <s v="CUST008"/>
    <s v="Mary Davis"/>
    <s v="Central"/>
    <s v="Office Supplies"/>
    <n v="1250.71"/>
    <n v="7"/>
    <n v="0"/>
    <d v="2025-01-17T00:00:00"/>
    <n v="562.82000000000005"/>
    <x v="9"/>
  </r>
  <r>
    <s v="CUST023"/>
    <s v="James Taylor"/>
    <s v="South"/>
    <s v="Clothing"/>
    <n v="1118.3399999999999"/>
    <n v="6"/>
    <n v="0.2"/>
    <d v="2025-01-17T00:00:00"/>
    <n v="447.34"/>
    <x v="9"/>
  </r>
  <r>
    <s v="CUST024"/>
    <s v="Linda Taylor"/>
    <s v="North"/>
    <s v="Clothing"/>
    <n v="1622.62"/>
    <n v="12"/>
    <n v="0.2"/>
    <d v="2025-01-20T00:00:00"/>
    <n v="649.04999999999995"/>
    <x v="9"/>
  </r>
  <r>
    <s v="CUST018"/>
    <s v="Lisa Davis"/>
    <s v="North"/>
    <s v="Books"/>
    <n v="640.64"/>
    <n v="11"/>
    <n v="0.2"/>
    <d v="2025-01-21T00:00:00"/>
    <n v="205"/>
    <x v="9"/>
  </r>
  <r>
    <s v="CUST030"/>
    <s v="Sarah Anderson"/>
    <s v="West"/>
    <s v="Clothing"/>
    <n v="585.16"/>
    <n v="17"/>
    <n v="0.1"/>
    <d v="2025-01-27T00:00:00"/>
    <n v="263.32"/>
    <x v="9"/>
  </r>
  <r>
    <s v="CUST030"/>
    <s v="Mary Davis"/>
    <s v="East"/>
    <s v="Clothing"/>
    <n v="1109.98"/>
    <n v="5"/>
    <n v="0.2"/>
    <d v="2025-02-02T00:00:00"/>
    <n v="443.99"/>
    <x v="10"/>
  </r>
  <r>
    <s v="CUST015"/>
    <s v="Lisa Thomas"/>
    <s v="East"/>
    <s v="Books"/>
    <n v="1098.08"/>
    <n v="9"/>
    <n v="0.1"/>
    <d v="2025-02-04T00:00:00"/>
    <n v="395.31"/>
    <x v="10"/>
  </r>
  <r>
    <s v="CUST002"/>
    <s v="Lisa Davis"/>
    <s v="West"/>
    <s v="Office Supplies"/>
    <n v="827.25"/>
    <n v="7"/>
    <n v="0.1"/>
    <d v="2025-02-05T00:00:00"/>
    <n v="335.04"/>
    <x v="10"/>
  </r>
  <r>
    <s v="CUST024"/>
    <s v="Linda Wilson"/>
    <s v="Central"/>
    <s v="Clothing"/>
    <n v="741.88"/>
    <n v="16"/>
    <n v="0.1"/>
    <d v="2025-02-07T00:00:00"/>
    <n v="333.85"/>
    <x v="10"/>
  </r>
  <r>
    <s v="CUST004"/>
    <s v="James Davis"/>
    <s v="East"/>
    <s v="Office Supplies"/>
    <n v="1311.26"/>
    <n v="6"/>
    <n v="0.1"/>
    <d v="2025-02-10T00:00:00"/>
    <n v="531.05999999999995"/>
    <x v="10"/>
  </r>
  <r>
    <s v="CUST004"/>
    <s v="Mary Davis"/>
    <s v="South"/>
    <s v="Office Supplies"/>
    <n v="573.32000000000005"/>
    <n v="19"/>
    <n v="0.1"/>
    <d v="2025-02-15T00:00:00"/>
    <n v="232.19"/>
    <x v="10"/>
  </r>
  <r>
    <s v="CUST028"/>
    <s v="James Wilson"/>
    <s v="West"/>
    <s v="Electronics"/>
    <n v="1115.22"/>
    <n v="14"/>
    <n v="0.2"/>
    <d v="2025-02-17T00:00:00"/>
    <n v="223.04"/>
    <x v="10"/>
  </r>
  <r>
    <s v="CUST012"/>
    <s v="Lisa Thomas"/>
    <s v="North"/>
    <s v="Clothing"/>
    <n v="845.84"/>
    <n v="4"/>
    <n v="0"/>
    <d v="2025-02-19T00:00:00"/>
    <n v="422.92"/>
    <x v="10"/>
  </r>
  <r>
    <s v="CUST026"/>
    <s v="David Brown"/>
    <s v="West"/>
    <s v="Electronics"/>
    <n v="1029.8"/>
    <n v="3"/>
    <n v="0"/>
    <d v="2025-02-20T00:00:00"/>
    <n v="257.45"/>
    <x v="10"/>
  </r>
  <r>
    <s v="CUST009"/>
    <s v="Mary Davis"/>
    <s v="North"/>
    <s v="Books"/>
    <n v="1189.83"/>
    <n v="2"/>
    <n v="0.2"/>
    <d v="2025-02-21T00:00:00"/>
    <n v="380.75"/>
    <x v="10"/>
  </r>
  <r>
    <s v="CUST003"/>
    <s v="Sarah Anderson"/>
    <s v="South"/>
    <s v="Books"/>
    <n v="704.28"/>
    <n v="15"/>
    <n v="0.2"/>
    <d v="2025-02-24T00:00:00"/>
    <n v="225.37"/>
    <x v="10"/>
  </r>
  <r>
    <s v="CUST002"/>
    <s v="Mary Jackson"/>
    <s v="Central"/>
    <s v="Office Supplies"/>
    <n v="1618.22"/>
    <n v="12"/>
    <n v="0.2"/>
    <d v="2025-02-24T00:00:00"/>
    <n v="582.55999999999995"/>
    <x v="10"/>
  </r>
  <r>
    <s v="CUST013"/>
    <s v="Linda Taylor"/>
    <s v="Central"/>
    <s v="Books"/>
    <n v="1014.43"/>
    <n v="2"/>
    <n v="0.15"/>
    <d v="2025-02-25T00:00:00"/>
    <n v="344.91"/>
    <x v="10"/>
  </r>
  <r>
    <s v="CUST018"/>
    <s v="Mary Davis"/>
    <s v="Central"/>
    <s v="Clothing"/>
    <n v="826.97"/>
    <n v="18"/>
    <n v="0.2"/>
    <d v="2025-02-27T00:00:00"/>
    <n v="330.79"/>
    <x v="10"/>
  </r>
  <r>
    <s v="CUST017"/>
    <s v="Mary Davis"/>
    <s v="Central"/>
    <s v="Clothing"/>
    <n v="1022.23"/>
    <n v="8"/>
    <n v="0.1"/>
    <d v="2025-03-01T00:00:00"/>
    <n v="460"/>
    <x v="11"/>
  </r>
  <r>
    <s v="CUST004"/>
    <s v="Linda Wilson"/>
    <s v="East"/>
    <s v="Books"/>
    <n v="1099.69"/>
    <n v="6"/>
    <n v="0"/>
    <d v="2025-03-02T00:00:00"/>
    <n v="439.88"/>
    <x v="11"/>
  </r>
  <r>
    <s v="CUST028"/>
    <s v="Sarah Davis"/>
    <s v="North"/>
    <s v="Books"/>
    <n v="710.52"/>
    <n v="8"/>
    <n v="0.1"/>
    <d v="2025-03-05T00:00:00"/>
    <n v="255.79"/>
    <x v="11"/>
  </r>
  <r>
    <s v="CUST028"/>
    <s v="Mary Wilson"/>
    <s v="North"/>
    <s v="Books"/>
    <n v="499.18"/>
    <n v="15"/>
    <n v="0.2"/>
    <d v="2025-03-08T00:00:00"/>
    <n v="159.74"/>
    <x v="11"/>
  </r>
  <r>
    <s v="CUST014"/>
    <s v="Emma Davis"/>
    <s v="South"/>
    <s v="Books"/>
    <n v="1064.19"/>
    <n v="18"/>
    <n v="0.05"/>
    <d v="2025-03-09T00:00:00"/>
    <n v="404.39"/>
    <x v="11"/>
  </r>
  <r>
    <s v="CUST003"/>
    <s v="Emma Davis"/>
    <s v="East"/>
    <s v="Office Supplies"/>
    <n v="438.76"/>
    <n v="18"/>
    <n v="0.05"/>
    <d v="2025-03-10T00:00:00"/>
    <n v="187.57"/>
    <x v="11"/>
  </r>
  <r>
    <s v="CUST029"/>
    <s v="David Brown"/>
    <s v="West"/>
    <s v="Clothing"/>
    <n v="864.98"/>
    <n v="2"/>
    <n v="0.05"/>
    <d v="2025-03-11T00:00:00"/>
    <n v="410.87"/>
    <x v="11"/>
  </r>
  <r>
    <s v="CUST021"/>
    <s v="David Brown"/>
    <s v="West"/>
    <s v="Furniture"/>
    <n v="984.93"/>
    <n v="14"/>
    <n v="0.2"/>
    <d v="2025-03-17T00:00:00"/>
    <n v="275.77999999999997"/>
    <x v="11"/>
  </r>
  <r>
    <s v="CUST007"/>
    <s v="David Brown"/>
    <s v="West"/>
    <s v="Clothing"/>
    <n v="1493.49"/>
    <n v="18"/>
    <n v="0"/>
    <d v="2025-03-18T00:00:00"/>
    <n v="746.74"/>
    <x v="11"/>
  </r>
  <r>
    <s v="CUST009"/>
    <s v="Linda Taylor"/>
    <s v="South"/>
    <s v="Clothing"/>
    <n v="689.43"/>
    <n v="9"/>
    <n v="0.1"/>
    <d v="2025-03-20T00:00:00"/>
    <n v="310.24"/>
    <x v="11"/>
  </r>
  <r>
    <s v="CUST023"/>
    <s v="Mary Wilson"/>
    <s v="South"/>
    <s v="Clothing"/>
    <n v="682.24"/>
    <n v="1"/>
    <n v="0"/>
    <d v="2025-03-22T00:00:00"/>
    <n v="341.12"/>
    <x v="11"/>
  </r>
  <r>
    <s v="CUST029"/>
    <s v="Michael Anderson"/>
    <s v="North"/>
    <s v="Electronics"/>
    <n v="458.54"/>
    <n v="15"/>
    <n v="0.2"/>
    <d v="2025-03-25T00:00:00"/>
    <n v="91.71"/>
    <x v="11"/>
  </r>
  <r>
    <s v="CUST009"/>
    <s v="Michael Anderson"/>
    <s v="South"/>
    <s v="Furniture"/>
    <n v="1184.25"/>
    <n v="11"/>
    <n v="0.2"/>
    <d v="2025-03-26T00:00:00"/>
    <n v="331.59"/>
    <x v="11"/>
  </r>
  <r>
    <s v="CUST007"/>
    <s v="James Davis"/>
    <s v="South"/>
    <s v="Clothing"/>
    <n v="762.14"/>
    <n v="9"/>
    <n v="0"/>
    <d v="2025-03-27T00:00:00"/>
    <n v="381.07"/>
    <x v="11"/>
  </r>
  <r>
    <s v="CUST030"/>
    <s v="Linda Taylor"/>
    <s v="North"/>
    <s v="Books"/>
    <n v="750.71"/>
    <n v="10"/>
    <n v="0.15"/>
    <d v="2025-03-27T00:00:00"/>
    <n v="255.24"/>
    <x v="11"/>
  </r>
  <r>
    <s v="CUST018"/>
    <s v="David Anderson"/>
    <s v="Central"/>
    <s v="Clothing"/>
    <n v="1456.94"/>
    <n v="14"/>
    <n v="0.05"/>
    <d v="2025-03-29T00:00:00"/>
    <n v="692.05"/>
    <x v="11"/>
  </r>
  <r>
    <s v="CUST008"/>
    <s v="Emma Wilson"/>
    <s v="East"/>
    <s v="Furniture"/>
    <n v="1093.3800000000001"/>
    <n v="17"/>
    <n v="0.1"/>
    <d v="2025-03-29T00:00:00"/>
    <n v="344.41"/>
    <x v="11"/>
  </r>
  <r>
    <s v="CUST014"/>
    <s v="Sarah Anderson"/>
    <s v="West"/>
    <s v="Clothing"/>
    <n v="934.27"/>
    <n v="8"/>
    <n v="0.15"/>
    <d v="2025-03-30T00:00:00"/>
    <n v="397.06"/>
    <x v="11"/>
  </r>
  <r>
    <s v="CUST024"/>
    <s v="David Thomas"/>
    <s v="Central"/>
    <s v="Clothing"/>
    <n v="1465.35"/>
    <n v="8"/>
    <n v="0.2"/>
    <d v="2025-03-30T00:00:00"/>
    <n v="586.14"/>
    <x v="11"/>
  </r>
  <r>
    <s v="CUST028"/>
    <s v="Robert Anderson"/>
    <s v="South"/>
    <s v="Office Supplies"/>
    <n v="740.8"/>
    <n v="3"/>
    <n v="0"/>
    <d v="2025-04-02T00:00:00"/>
    <n v="333.36"/>
    <x v="0"/>
  </r>
  <r>
    <s v="CUST015"/>
    <s v="Sarah Anderson"/>
    <s v="West"/>
    <s v="Office Supplies"/>
    <n v="545.44000000000005"/>
    <n v="17"/>
    <n v="0"/>
    <d v="2025-04-05T00:00:00"/>
    <n v="245.45"/>
    <x v="0"/>
  </r>
  <r>
    <s v="CUST010"/>
    <s v="David Thomas"/>
    <s v="East"/>
    <s v="Books"/>
    <n v="997.61"/>
    <n v="8"/>
    <n v="0.05"/>
    <d v="2025-04-05T00:00:00"/>
    <n v="379.09"/>
    <x v="0"/>
  </r>
  <r>
    <s v="CUST016"/>
    <s v="David Thomas"/>
    <s v="South"/>
    <s v="Clothing"/>
    <n v="928.32"/>
    <n v="2"/>
    <n v="0.05"/>
    <d v="2025-04-07T00:00:00"/>
    <n v="440.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0BF86-3418-4785-A373-B58F41BF8076}" name="top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2" firstHeaderRow="1" firstDataRow="1" firstDataCol="1"/>
  <pivotFields count="9">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4" showAll="0"/>
    <pivotField showAll="0"/>
  </pivotFields>
  <rowFields count="1">
    <field x="1"/>
  </rowFields>
  <rowItems count="11">
    <i>
      <x v="1"/>
    </i>
    <i>
      <x v="5"/>
    </i>
    <i>
      <x v="7"/>
    </i>
    <i>
      <x v="10"/>
    </i>
    <i>
      <x v="17"/>
    </i>
    <i>
      <x v="18"/>
    </i>
    <i>
      <x v="19"/>
    </i>
    <i>
      <x v="20"/>
    </i>
    <i>
      <x v="23"/>
    </i>
    <i>
      <x v="24"/>
    </i>
    <i t="grand">
      <x/>
    </i>
  </rowItems>
  <colItems count="1">
    <i/>
  </colItems>
  <dataFields count="1">
    <dataField name="Sum of Sales" fld="4"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30D73-15F0-47C3-99E1-621239656D1A}"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15" firstHeaderRow="1" firstDataRow="1" firstDataCol="1"/>
  <pivotFields count="10">
    <pivotField showAll="0"/>
    <pivotField showAll="0"/>
    <pivotField showAll="0"/>
    <pivotField showAll="0"/>
    <pivotField dataField="1" showAll="0"/>
    <pivotField showAll="0"/>
    <pivotField showAll="0"/>
    <pivotField numFmtId="14" showAll="0"/>
    <pivotField showAll="0"/>
    <pivotField axis="axisRow" showAll="0">
      <items count="13">
        <item x="9"/>
        <item x="10"/>
        <item x="11"/>
        <item x="0"/>
        <item x="1"/>
        <item x="2"/>
        <item x="3"/>
        <item x="4"/>
        <item x="5"/>
        <item x="6"/>
        <item x="7"/>
        <item x="8"/>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5B1641-F1C5-4F28-864F-A6CE2D64B238}"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0" firstHeaderRow="1" firstDataRow="1" firstDataCol="1"/>
  <pivotFields count="9">
    <pivotField axis="axisRow" showAll="0" measureFilter="1">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pivotField showAll="0"/>
    <pivotField dataField="1" showAll="0"/>
    <pivotField showAll="0"/>
    <pivotField showAll="0"/>
    <pivotField numFmtId="14" showAll="0"/>
    <pivotField showAll="0"/>
  </pivotFields>
  <rowFields count="1">
    <field x="0"/>
  </rowFields>
  <rowItems count="6">
    <i>
      <x v="6"/>
    </i>
    <i>
      <x v="7"/>
    </i>
    <i>
      <x v="14"/>
    </i>
    <i>
      <x v="25"/>
    </i>
    <i>
      <x v="27"/>
    </i>
    <i t="grand">
      <x/>
    </i>
  </rowItems>
  <colItems count="1">
    <i/>
  </colItems>
  <dataFields count="1">
    <dataField name="Sum of Sales" fld="4"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623F10-F390-48D9-A502-AC2AFE1A8DA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9" firstHeaderRow="1" firstDataRow="1" firstDataCol="1"/>
  <pivotFields count="9">
    <pivotField showAll="0"/>
    <pivotField axis="axisRow"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4" showAll="0"/>
    <pivotField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1C875B-7EB0-4E23-A03F-DB842ED32B7D}"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9">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DF7C6B-871F-4A2F-9851-EEE6894E5355}"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9" firstHeaderRow="1" firstDataRow="1" firstDataCol="1"/>
  <pivotFields count="9">
    <pivotField showAll="0"/>
    <pivotField showAll="0"/>
    <pivotField showAll="0"/>
    <pivotField axis="axisRow" showAll="0">
      <items count="6">
        <item x="0"/>
        <item x="1"/>
        <item x="2"/>
        <item x="3"/>
        <item x="4"/>
        <item t="default"/>
      </items>
    </pivotField>
    <pivotField showAll="0"/>
    <pivotField showAll="0"/>
    <pivotField showAll="0"/>
    <pivotField numFmtId="14" showAll="0"/>
    <pivotField dataField="1" showAll="0"/>
  </pivotFields>
  <rowFields count="1">
    <field x="3"/>
  </rowFields>
  <rowItems count="6">
    <i>
      <x/>
    </i>
    <i>
      <x v="1"/>
    </i>
    <i>
      <x v="2"/>
    </i>
    <i>
      <x v="3"/>
    </i>
    <i>
      <x v="4"/>
    </i>
    <i t="grand">
      <x/>
    </i>
  </rowItems>
  <colItems count="1">
    <i/>
  </colItems>
  <dataFields count="1">
    <dataField name="Sum of Profit" fld="8"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6" format="16">
      <pivotArea type="data" outline="0" fieldPosition="0">
        <references count="2">
          <reference field="4294967294" count="1" selected="0">
            <x v="0"/>
          </reference>
          <reference field="3" count="1" selected="0">
            <x v="3"/>
          </reference>
        </references>
      </pivotArea>
    </chartFormat>
    <chartFormat chart="6"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1CAAC1-993E-4C62-A63D-E8297ECFF8C5}"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7:B33" firstHeaderRow="1" firstDataRow="1" firstDataCol="1"/>
  <pivotFields count="9">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axis="axisRow" showAll="0">
      <items count="6">
        <item x="4"/>
        <item x="1"/>
        <item x="3"/>
        <item x="2"/>
        <item x="0"/>
        <item t="default"/>
      </items>
    </pivotField>
    <pivotField showAll="0"/>
    <pivotField dataField="1" showAll="0"/>
    <pivotField showAll="0"/>
    <pivotField showAll="0"/>
    <pivotField numFmtId="14" showAll="0"/>
    <pivotField showAll="0"/>
  </pivotFields>
  <rowFields count="1">
    <field x="2"/>
  </rowFields>
  <rowItems count="6">
    <i>
      <x/>
    </i>
    <i>
      <x v="1"/>
    </i>
    <i>
      <x v="2"/>
    </i>
    <i>
      <x v="3"/>
    </i>
    <i>
      <x v="4"/>
    </i>
    <i t="grand">
      <x/>
    </i>
  </rowItems>
  <colItems count="1">
    <i/>
  </colItems>
  <dataFields count="1">
    <dataField name="Sum of Sales" fld="4"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1BC95D-E0C4-4132-B2E9-428C633A4235}" name="p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9">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axis="axisRow" showAll="0">
      <items count="6">
        <item x="0"/>
        <item x="1"/>
        <item x="2"/>
        <item x="3"/>
        <item x="4"/>
        <item t="default"/>
      </items>
    </pivotField>
    <pivotField dataField="1" showAll="0"/>
    <pivotField showAll="0"/>
    <pivotField showAll="0"/>
    <pivotField numFmtId="14" showAll="0"/>
    <pivotField showAll="0"/>
  </pivotFields>
  <rowFields count="1">
    <field x="3"/>
  </rowFields>
  <rowItems count="6">
    <i>
      <x/>
    </i>
    <i>
      <x v="1"/>
    </i>
    <i>
      <x v="2"/>
    </i>
    <i>
      <x v="3"/>
    </i>
    <i>
      <x v="4"/>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FE6A76-E0E9-48BA-B8C5-B137AD104E09}" sourceName="Region">
  <pivotTables>
    <pivotTable tabId="8" name="PivotTable6"/>
  </pivotTables>
  <data>
    <tabular pivotCacheId="1567593209">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DF335E4-B211-4650-B8CF-56A46ADBA78D}" sourceName="Product_Category">
  <pivotTables>
    <pivotTable tabId="8" name="PivotTable6"/>
  </pivotTables>
  <data>
    <tabular pivotCacheId="1567593209">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76677A10-BFAD-4CC4-A0C1-45A5B524BA05}" sourceName="Customer_Name">
  <pivotTables>
    <pivotTable tabId="9" name="PivotTable8"/>
    <pivotTable tabId="9" name="p2"/>
  </pivotTables>
  <data>
    <tabular pivotCacheId="1567593209">
      <items count="27">
        <i x="26" s="1"/>
        <i x="18" s="1"/>
        <i x="19" s="1"/>
        <i x="10" s="1"/>
        <i x="8" s="1"/>
        <i x="9" s="1"/>
        <i x="24" s="1"/>
        <i x="21" s="1"/>
        <i x="0" s="1"/>
        <i x="2" s="1"/>
        <i x="3" s="1"/>
        <i x="16" s="1"/>
        <i x="15" s="1"/>
        <i x="22" s="1"/>
        <i x="7" s="1"/>
        <i x="25" s="1"/>
        <i x="17" s="1"/>
        <i x="5" s="1"/>
        <i x="14" s="1"/>
        <i x="12" s="1"/>
        <i x="6" s="1"/>
        <i x="13" s="1"/>
        <i x="20" s="1"/>
        <i x="4" s="1"/>
        <i x="1" s="1"/>
        <i x="11"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A5F65F-236D-4A1F-9C4E-5A89E25623AF}" cache="Slicer_Region" caption="Region" rowHeight="251883"/>
  <slicer name="Product_Category" xr10:uid="{F2CB6E53-72E5-46C7-9B11-3539A8241356}" cache="Slicer_Product_Category" caption="Product_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6396408E-337F-4459-A5E9-EB7946F66B9A}" cache="Slicer_Customer_Name" caption="Customer_Name"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B30592-7CEC-4940-A642-480C4B7AFE0E}" name="data" displayName="data" ref="A1:I201" totalsRowShown="0" headerRowDxfId="31" dataDxfId="29" headerRowBorderDxfId="30" tableBorderDxfId="28" totalsRowBorderDxfId="27">
  <autoFilter ref="A1:I201" xr:uid="{F8B30592-7CEC-4940-A642-480C4B7AFE0E}"/>
  <tableColumns count="9">
    <tableColumn id="1" xr3:uid="{F09FEE32-70F0-4928-AD7D-0DABE1BE7B14}" name="Customer_ID" dataDxfId="26"/>
    <tableColumn id="2" xr3:uid="{DE6FE114-407C-4E92-8D0E-FB031232586C}" name="Customer_Name" dataDxfId="25"/>
    <tableColumn id="3" xr3:uid="{28301B6D-5B3B-4FEA-AD0C-85D8B3E904CF}" name="Region" dataDxfId="24"/>
    <tableColumn id="4" xr3:uid="{E791C661-8CED-4DE4-B341-0A9619427200}" name="Product_Category" dataDxfId="23"/>
    <tableColumn id="5" xr3:uid="{FA705236-BEF7-461D-A057-D4AFC1C4BFBC}" name="Sales" dataDxfId="22"/>
    <tableColumn id="6" xr3:uid="{826BDD4A-B4A2-4B4F-A2B2-CAEF10B10CAD}" name="Quantity" dataDxfId="21"/>
    <tableColumn id="7" xr3:uid="{837FD5AF-6807-49EF-8232-044354525055}" name="Discount" dataDxfId="20"/>
    <tableColumn id="8" xr3:uid="{34FE7E06-2264-4A3F-8376-69AD4741AF72}" name="Order_Date" dataDxfId="19"/>
    <tableColumn id="9" xr3:uid="{5DCE3F9B-A53A-4B6E-8661-471CC18EF5DE}" name="Profit"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D9503C-2EC0-4C2F-AF9A-A33566CAE7FB}" name="Table6" displayName="Table6" ref="A1:J201" totalsRowShown="0" headerRowDxfId="0" dataDxfId="1" tableBorderDxfId="11">
  <autoFilter ref="A1:J201" xr:uid="{8BD9503C-2EC0-4C2F-AF9A-A33566CAE7FB}"/>
  <tableColumns count="10">
    <tableColumn id="1" xr3:uid="{B8F3075B-E47F-4D4F-9CBE-7370CE2AADFD}" name="Customer_ID" dataDxfId="10"/>
    <tableColumn id="2" xr3:uid="{788C8B47-3C58-4B05-9112-D3E3F7A2A4CD}" name="Customer_Name" dataDxfId="9"/>
    <tableColumn id="3" xr3:uid="{B862A241-BB58-4665-859A-0E09ECD08082}" name="Region" dataDxfId="8"/>
    <tableColumn id="4" xr3:uid="{54E06CDB-3AD2-438F-8163-ED1D4E658943}" name="Product_Category" dataDxfId="7"/>
    <tableColumn id="5" xr3:uid="{E580244D-8C6D-4532-B9CD-4BC64D63D4E1}" name="Sales" dataDxfId="6"/>
    <tableColumn id="6" xr3:uid="{887DA764-5257-43FA-A745-0BA9AF1ECF99}" name="Quantity" dataDxfId="5"/>
    <tableColumn id="7" xr3:uid="{01672E8A-42D2-4775-86F1-191DD5DF5B77}" name="Discount" dataDxfId="4"/>
    <tableColumn id="8" xr3:uid="{2CFDCB05-C829-4AB8-938D-A99B18E52802}" name="Order_Date" dataDxfId="3"/>
    <tableColumn id="9" xr3:uid="{9B65F4A0-2A01-47F7-95EA-6B15E16461D1}" name="Profit" dataDxfId="2"/>
    <tableColumn id="10" xr3:uid="{1D86A70C-E40E-4B36-B12F-1550B6C06E92}" name="month">
      <calculatedColumnFormula>TEXT(H2,"mmm")</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998CFE-DA42-4E25-AA52-88B734C63AD1}" name="Table4" displayName="Table4" ref="A1:D201" totalsRowShown="0" headerRowDxfId="13" tableBorderDxfId="17">
  <autoFilter ref="A1:D201" xr:uid="{E2998CFE-DA42-4E25-AA52-88B734C63AD1}"/>
  <tableColumns count="4">
    <tableColumn id="1" xr3:uid="{2644B31C-B9E0-4B2F-BFB1-EF0F898D6325}" name="Customer_ID" dataDxfId="16"/>
    <tableColumn id="2" xr3:uid="{E19CA882-763D-4DE8-BDC0-B2B2543DBBB1}" name="Region" dataDxfId="15"/>
    <tableColumn id="3" xr3:uid="{644048A6-B325-46FB-B2D8-AFA16601F826}" name="Order_Date" dataDxfId="14"/>
    <tableColumn id="4" xr3:uid="{82AA04DB-DE66-4D6C-8D46-91F6FB4EA07B}" name="timestamp" dataDxfId="12">
      <calculatedColumnFormula array="1">_xlfn.IFS($B2="west",NOW(),$B2="east","          -",$B2="south","          -",$B2="central","          -",$B2="north","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756C-BEDC-40CC-BD38-5167E483B3A9}">
  <dimension ref="A1:I201"/>
  <sheetViews>
    <sheetView zoomScale="92" workbookViewId="0"/>
  </sheetViews>
  <sheetFormatPr defaultRowHeight="14.5" x14ac:dyDescent="0.35"/>
  <cols>
    <col min="1" max="1" width="13.81640625" customWidth="1"/>
    <col min="2" max="2" width="16.90625" customWidth="1"/>
    <col min="4" max="4" width="17.90625" customWidth="1"/>
    <col min="6" max="7" width="10.1796875" customWidth="1"/>
    <col min="8" max="8" width="12.7265625" customWidth="1"/>
    <col min="9" max="9" width="7.54296875" customWidth="1"/>
    <col min="11" max="11" width="15.453125" bestFit="1" customWidth="1"/>
    <col min="12" max="12" width="11.54296875" bestFit="1" customWidth="1"/>
  </cols>
  <sheetData>
    <row r="1" spans="1:9" ht="15" thickBot="1" x14ac:dyDescent="0.4">
      <c r="A1" s="6" t="s">
        <v>0</v>
      </c>
      <c r="B1" s="7" t="s">
        <v>1</v>
      </c>
      <c r="C1" s="7" t="s">
        <v>2</v>
      </c>
      <c r="D1" s="7" t="s">
        <v>3</v>
      </c>
      <c r="E1" s="7" t="s">
        <v>4</v>
      </c>
      <c r="F1" s="7" t="s">
        <v>5</v>
      </c>
      <c r="G1" s="7" t="s">
        <v>6</v>
      </c>
      <c r="H1" s="7" t="s">
        <v>7</v>
      </c>
      <c r="I1" s="8" t="s">
        <v>8</v>
      </c>
    </row>
    <row r="2" spans="1:9" ht="15" thickBot="1" x14ac:dyDescent="0.4">
      <c r="A2" s="4" t="s">
        <v>9</v>
      </c>
      <c r="B2" s="1" t="s">
        <v>10</v>
      </c>
      <c r="C2" s="1" t="s">
        <v>11</v>
      </c>
      <c r="D2" s="1" t="s">
        <v>12</v>
      </c>
      <c r="E2" s="2">
        <v>1036.0899999999999</v>
      </c>
      <c r="F2" s="2">
        <v>4</v>
      </c>
      <c r="G2" s="2">
        <v>0.2</v>
      </c>
      <c r="H2" s="3">
        <v>45392</v>
      </c>
      <c r="I2" s="5">
        <v>331.55</v>
      </c>
    </row>
    <row r="3" spans="1:9" ht="15" thickBot="1" x14ac:dyDescent="0.4">
      <c r="A3" s="4" t="s">
        <v>13</v>
      </c>
      <c r="B3" s="1" t="s">
        <v>14</v>
      </c>
      <c r="C3" s="1" t="s">
        <v>11</v>
      </c>
      <c r="D3" s="1" t="s">
        <v>15</v>
      </c>
      <c r="E3" s="2">
        <v>1101.28</v>
      </c>
      <c r="F3" s="2">
        <v>3</v>
      </c>
      <c r="G3" s="2">
        <v>0.2</v>
      </c>
      <c r="H3" s="3">
        <v>45393</v>
      </c>
      <c r="I3" s="5">
        <v>440.51</v>
      </c>
    </row>
    <row r="4" spans="1:9" ht="15" thickBot="1" x14ac:dyDescent="0.4">
      <c r="A4" s="4" t="s">
        <v>16</v>
      </c>
      <c r="B4" s="1" t="s">
        <v>17</v>
      </c>
      <c r="C4" s="1" t="s">
        <v>18</v>
      </c>
      <c r="D4" s="1" t="s">
        <v>12</v>
      </c>
      <c r="E4" s="2">
        <v>713.34</v>
      </c>
      <c r="F4" s="2">
        <v>17</v>
      </c>
      <c r="G4" s="2">
        <v>0</v>
      </c>
      <c r="H4" s="3">
        <v>45396</v>
      </c>
      <c r="I4" s="5">
        <v>285.33999999999997</v>
      </c>
    </row>
    <row r="5" spans="1:9" ht="15" thickBot="1" x14ac:dyDescent="0.4">
      <c r="A5" s="4" t="s">
        <v>19</v>
      </c>
      <c r="B5" s="1" t="s">
        <v>14</v>
      </c>
      <c r="C5" s="1" t="s">
        <v>20</v>
      </c>
      <c r="D5" s="1" t="s">
        <v>21</v>
      </c>
      <c r="E5" s="2">
        <v>760.93</v>
      </c>
      <c r="F5" s="2">
        <v>4</v>
      </c>
      <c r="G5" s="2">
        <v>0.15</v>
      </c>
      <c r="H5" s="3">
        <v>45396</v>
      </c>
      <c r="I5" s="5">
        <v>161.69999999999999</v>
      </c>
    </row>
    <row r="6" spans="1:9" ht="15" thickBot="1" x14ac:dyDescent="0.4">
      <c r="A6" s="4" t="s">
        <v>22</v>
      </c>
      <c r="B6" s="1" t="s">
        <v>23</v>
      </c>
      <c r="C6" s="1" t="s">
        <v>24</v>
      </c>
      <c r="D6" s="1" t="s">
        <v>12</v>
      </c>
      <c r="E6" s="2">
        <v>847</v>
      </c>
      <c r="F6" s="2">
        <v>12</v>
      </c>
      <c r="G6" s="2">
        <v>0.2</v>
      </c>
      <c r="H6" s="3">
        <v>45397</v>
      </c>
      <c r="I6" s="5">
        <v>271.04000000000002</v>
      </c>
    </row>
    <row r="7" spans="1:9" ht="15" thickBot="1" x14ac:dyDescent="0.4">
      <c r="A7" s="4" t="s">
        <v>25</v>
      </c>
      <c r="B7" s="1" t="s">
        <v>26</v>
      </c>
      <c r="C7" s="1" t="s">
        <v>24</v>
      </c>
      <c r="D7" s="1" t="s">
        <v>27</v>
      </c>
      <c r="E7" s="2">
        <v>965.64</v>
      </c>
      <c r="F7" s="2">
        <v>8</v>
      </c>
      <c r="G7" s="2">
        <v>0.1</v>
      </c>
      <c r="H7" s="3">
        <v>45398</v>
      </c>
      <c r="I7" s="5">
        <v>304.18</v>
      </c>
    </row>
    <row r="8" spans="1:9" ht="15" thickBot="1" x14ac:dyDescent="0.4">
      <c r="A8" s="4" t="s">
        <v>28</v>
      </c>
      <c r="B8" s="1" t="s">
        <v>29</v>
      </c>
      <c r="C8" s="1" t="s">
        <v>11</v>
      </c>
      <c r="D8" s="1" t="s">
        <v>21</v>
      </c>
      <c r="E8" s="2">
        <v>1317.53</v>
      </c>
      <c r="F8" s="2">
        <v>12</v>
      </c>
      <c r="G8" s="2">
        <v>0.05</v>
      </c>
      <c r="H8" s="3">
        <v>45398</v>
      </c>
      <c r="I8" s="5">
        <v>312.91000000000003</v>
      </c>
    </row>
    <row r="9" spans="1:9" ht="15" thickBot="1" x14ac:dyDescent="0.4">
      <c r="A9" s="4" t="s">
        <v>30</v>
      </c>
      <c r="B9" s="1" t="s">
        <v>31</v>
      </c>
      <c r="C9" s="1" t="s">
        <v>18</v>
      </c>
      <c r="D9" s="1" t="s">
        <v>27</v>
      </c>
      <c r="E9" s="2">
        <v>1074.47</v>
      </c>
      <c r="F9" s="2">
        <v>6</v>
      </c>
      <c r="G9" s="2">
        <v>0.2</v>
      </c>
      <c r="H9" s="3">
        <v>45401</v>
      </c>
      <c r="I9" s="5">
        <v>300.85000000000002</v>
      </c>
    </row>
    <row r="10" spans="1:9" ht="15" thickBot="1" x14ac:dyDescent="0.4">
      <c r="A10" s="4" t="s">
        <v>32</v>
      </c>
      <c r="B10" s="1" t="s">
        <v>33</v>
      </c>
      <c r="C10" s="1" t="s">
        <v>34</v>
      </c>
      <c r="D10" s="1" t="s">
        <v>12</v>
      </c>
      <c r="E10" s="2">
        <v>501.54</v>
      </c>
      <c r="F10" s="2">
        <v>11</v>
      </c>
      <c r="G10" s="2">
        <v>0.05</v>
      </c>
      <c r="H10" s="3">
        <v>45401</v>
      </c>
      <c r="I10" s="5">
        <v>190.59</v>
      </c>
    </row>
    <row r="11" spans="1:9" ht="15" thickBot="1" x14ac:dyDescent="0.4">
      <c r="A11" s="4" t="s">
        <v>35</v>
      </c>
      <c r="B11" s="1" t="s">
        <v>36</v>
      </c>
      <c r="C11" s="1" t="s">
        <v>34</v>
      </c>
      <c r="D11" s="1" t="s">
        <v>15</v>
      </c>
      <c r="E11" s="2">
        <v>737.31</v>
      </c>
      <c r="F11" s="2">
        <v>2</v>
      </c>
      <c r="G11" s="2">
        <v>0.05</v>
      </c>
      <c r="H11" s="3">
        <v>45401</v>
      </c>
      <c r="I11" s="5">
        <v>350.22</v>
      </c>
    </row>
    <row r="12" spans="1:9" ht="15" thickBot="1" x14ac:dyDescent="0.4">
      <c r="A12" s="4" t="s">
        <v>37</v>
      </c>
      <c r="B12" s="1" t="s">
        <v>38</v>
      </c>
      <c r="C12" s="1" t="s">
        <v>11</v>
      </c>
      <c r="D12" s="1" t="s">
        <v>39</v>
      </c>
      <c r="E12" s="2">
        <v>1572.82</v>
      </c>
      <c r="F12" s="2">
        <v>6</v>
      </c>
      <c r="G12" s="2">
        <v>0.05</v>
      </c>
      <c r="H12" s="3">
        <v>45402</v>
      </c>
      <c r="I12" s="5">
        <v>672.38</v>
      </c>
    </row>
    <row r="13" spans="1:9" ht="15" thickBot="1" x14ac:dyDescent="0.4">
      <c r="A13" s="4" t="s">
        <v>37</v>
      </c>
      <c r="B13" s="1" t="s">
        <v>36</v>
      </c>
      <c r="C13" s="1" t="s">
        <v>34</v>
      </c>
      <c r="D13" s="1" t="s">
        <v>12</v>
      </c>
      <c r="E13" s="2">
        <v>1343.13</v>
      </c>
      <c r="F13" s="2">
        <v>14</v>
      </c>
      <c r="G13" s="2">
        <v>0.15</v>
      </c>
      <c r="H13" s="3">
        <v>45404</v>
      </c>
      <c r="I13" s="5">
        <v>456.66</v>
      </c>
    </row>
    <row r="14" spans="1:9" ht="15" thickBot="1" x14ac:dyDescent="0.4">
      <c r="A14" s="4" t="s">
        <v>25</v>
      </c>
      <c r="B14" s="1" t="s">
        <v>26</v>
      </c>
      <c r="C14" s="1" t="s">
        <v>34</v>
      </c>
      <c r="D14" s="1" t="s">
        <v>12</v>
      </c>
      <c r="E14" s="2">
        <v>1191.58</v>
      </c>
      <c r="F14" s="2">
        <v>14</v>
      </c>
      <c r="G14" s="2">
        <v>0.05</v>
      </c>
      <c r="H14" s="3">
        <v>45406</v>
      </c>
      <c r="I14" s="5">
        <v>452.8</v>
      </c>
    </row>
    <row r="15" spans="1:9" ht="15" thickBot="1" x14ac:dyDescent="0.4">
      <c r="A15" s="4" t="s">
        <v>40</v>
      </c>
      <c r="B15" s="1" t="s">
        <v>14</v>
      </c>
      <c r="C15" s="1" t="s">
        <v>11</v>
      </c>
      <c r="D15" s="1" t="s">
        <v>27</v>
      </c>
      <c r="E15" s="2">
        <v>822.28</v>
      </c>
      <c r="F15" s="2">
        <v>7</v>
      </c>
      <c r="G15" s="2">
        <v>0.05</v>
      </c>
      <c r="H15" s="3">
        <v>45406</v>
      </c>
      <c r="I15" s="5">
        <v>273.41000000000003</v>
      </c>
    </row>
    <row r="16" spans="1:9" ht="15" thickBot="1" x14ac:dyDescent="0.4">
      <c r="A16" s="4" t="s">
        <v>41</v>
      </c>
      <c r="B16" s="1" t="s">
        <v>42</v>
      </c>
      <c r="C16" s="1" t="s">
        <v>24</v>
      </c>
      <c r="D16" s="1" t="s">
        <v>27</v>
      </c>
      <c r="E16" s="2">
        <v>521.66999999999996</v>
      </c>
      <c r="F16" s="2">
        <v>15</v>
      </c>
      <c r="G16" s="2">
        <v>0.15</v>
      </c>
      <c r="H16" s="3">
        <v>45409</v>
      </c>
      <c r="I16" s="5">
        <v>155.19999999999999</v>
      </c>
    </row>
    <row r="17" spans="1:9" ht="15" thickBot="1" x14ac:dyDescent="0.4">
      <c r="A17" s="4" t="s">
        <v>19</v>
      </c>
      <c r="B17" s="1" t="s">
        <v>43</v>
      </c>
      <c r="C17" s="1" t="s">
        <v>20</v>
      </c>
      <c r="D17" s="1" t="s">
        <v>21</v>
      </c>
      <c r="E17" s="2">
        <v>1502.93</v>
      </c>
      <c r="F17" s="2">
        <v>14</v>
      </c>
      <c r="G17" s="2">
        <v>0.2</v>
      </c>
      <c r="H17" s="3">
        <v>45410</v>
      </c>
      <c r="I17" s="5">
        <v>300.58999999999997</v>
      </c>
    </row>
    <row r="18" spans="1:9" ht="15" thickBot="1" x14ac:dyDescent="0.4">
      <c r="A18" s="4" t="s">
        <v>44</v>
      </c>
      <c r="B18" s="1" t="s">
        <v>14</v>
      </c>
      <c r="C18" s="1" t="s">
        <v>20</v>
      </c>
      <c r="D18" s="1" t="s">
        <v>12</v>
      </c>
      <c r="E18" s="2">
        <v>877.58</v>
      </c>
      <c r="F18" s="2">
        <v>10</v>
      </c>
      <c r="G18" s="2">
        <v>0.15</v>
      </c>
      <c r="H18" s="3">
        <v>45411</v>
      </c>
      <c r="I18" s="5">
        <v>298.38</v>
      </c>
    </row>
    <row r="19" spans="1:9" ht="15" thickBot="1" x14ac:dyDescent="0.4">
      <c r="A19" s="4" t="s">
        <v>28</v>
      </c>
      <c r="B19" s="1" t="s">
        <v>45</v>
      </c>
      <c r="C19" s="1" t="s">
        <v>11</v>
      </c>
      <c r="D19" s="1" t="s">
        <v>12</v>
      </c>
      <c r="E19" s="2">
        <v>636.70000000000005</v>
      </c>
      <c r="F19" s="2">
        <v>4</v>
      </c>
      <c r="G19" s="2">
        <v>0.2</v>
      </c>
      <c r="H19" s="3">
        <v>45411</v>
      </c>
      <c r="I19" s="5">
        <v>203.74</v>
      </c>
    </row>
    <row r="20" spans="1:9" ht="15" thickBot="1" x14ac:dyDescent="0.4">
      <c r="A20" s="4" t="s">
        <v>46</v>
      </c>
      <c r="B20" s="1" t="s">
        <v>47</v>
      </c>
      <c r="C20" s="1" t="s">
        <v>11</v>
      </c>
      <c r="D20" s="1" t="s">
        <v>12</v>
      </c>
      <c r="E20" s="2">
        <v>1506.14</v>
      </c>
      <c r="F20" s="2">
        <v>13</v>
      </c>
      <c r="G20" s="2">
        <v>0.2</v>
      </c>
      <c r="H20" s="3">
        <v>45412</v>
      </c>
      <c r="I20" s="5">
        <v>481.96</v>
      </c>
    </row>
    <row r="21" spans="1:9" ht="15" thickBot="1" x14ac:dyDescent="0.4">
      <c r="A21" s="4" t="s">
        <v>30</v>
      </c>
      <c r="B21" s="1" t="s">
        <v>31</v>
      </c>
      <c r="C21" s="1" t="s">
        <v>34</v>
      </c>
      <c r="D21" s="1" t="s">
        <v>21</v>
      </c>
      <c r="E21" s="2">
        <v>645.02</v>
      </c>
      <c r="F21" s="2">
        <v>4</v>
      </c>
      <c r="G21" s="2">
        <v>0</v>
      </c>
      <c r="H21" s="3">
        <v>45414</v>
      </c>
      <c r="I21" s="5">
        <v>161.26</v>
      </c>
    </row>
    <row r="22" spans="1:9" ht="15" thickBot="1" x14ac:dyDescent="0.4">
      <c r="A22" s="4" t="s">
        <v>25</v>
      </c>
      <c r="B22" s="1" t="s">
        <v>48</v>
      </c>
      <c r="C22" s="1" t="s">
        <v>20</v>
      </c>
      <c r="D22" s="1" t="s">
        <v>15</v>
      </c>
      <c r="E22" s="2">
        <v>953.3</v>
      </c>
      <c r="F22" s="2">
        <v>11</v>
      </c>
      <c r="G22" s="2">
        <v>0</v>
      </c>
      <c r="H22" s="3">
        <v>45415</v>
      </c>
      <c r="I22" s="5">
        <v>476.65</v>
      </c>
    </row>
    <row r="23" spans="1:9" ht="15" thickBot="1" x14ac:dyDescent="0.4">
      <c r="A23" s="4" t="s">
        <v>49</v>
      </c>
      <c r="B23" s="1" t="s">
        <v>14</v>
      </c>
      <c r="C23" s="1" t="s">
        <v>24</v>
      </c>
      <c r="D23" s="1" t="s">
        <v>21</v>
      </c>
      <c r="E23" s="2">
        <v>388.56</v>
      </c>
      <c r="F23" s="2">
        <v>14</v>
      </c>
      <c r="G23" s="2">
        <v>0.15</v>
      </c>
      <c r="H23" s="3">
        <v>45416</v>
      </c>
      <c r="I23" s="5">
        <v>82.57</v>
      </c>
    </row>
    <row r="24" spans="1:9" ht="15" thickBot="1" x14ac:dyDescent="0.4">
      <c r="A24" s="4" t="s">
        <v>9</v>
      </c>
      <c r="B24" s="1" t="s">
        <v>31</v>
      </c>
      <c r="C24" s="1" t="s">
        <v>11</v>
      </c>
      <c r="D24" s="1" t="s">
        <v>12</v>
      </c>
      <c r="E24" s="2">
        <v>743.17</v>
      </c>
      <c r="F24" s="2">
        <v>9</v>
      </c>
      <c r="G24" s="2">
        <v>0</v>
      </c>
      <c r="H24" s="3">
        <v>45416</v>
      </c>
      <c r="I24" s="5">
        <v>297.27</v>
      </c>
    </row>
    <row r="25" spans="1:9" ht="15" thickBot="1" x14ac:dyDescent="0.4">
      <c r="A25" s="4" t="s">
        <v>40</v>
      </c>
      <c r="B25" s="1" t="s">
        <v>31</v>
      </c>
      <c r="C25" s="1" t="s">
        <v>34</v>
      </c>
      <c r="D25" s="1" t="s">
        <v>21</v>
      </c>
      <c r="E25" s="2">
        <v>706.37</v>
      </c>
      <c r="F25" s="2">
        <v>6</v>
      </c>
      <c r="G25" s="2">
        <v>0</v>
      </c>
      <c r="H25" s="3">
        <v>45416</v>
      </c>
      <c r="I25" s="5">
        <v>176.59</v>
      </c>
    </row>
    <row r="26" spans="1:9" ht="15" thickBot="1" x14ac:dyDescent="0.4">
      <c r="A26" s="4" t="s">
        <v>13</v>
      </c>
      <c r="B26" s="1" t="s">
        <v>31</v>
      </c>
      <c r="C26" s="1" t="s">
        <v>34</v>
      </c>
      <c r="D26" s="1" t="s">
        <v>39</v>
      </c>
      <c r="E26" s="2">
        <v>925.31</v>
      </c>
      <c r="F26" s="2">
        <v>8</v>
      </c>
      <c r="G26" s="2">
        <v>0.1</v>
      </c>
      <c r="H26" s="3">
        <v>45418</v>
      </c>
      <c r="I26" s="5">
        <v>374.75</v>
      </c>
    </row>
    <row r="27" spans="1:9" ht="15" thickBot="1" x14ac:dyDescent="0.4">
      <c r="A27" s="4" t="s">
        <v>35</v>
      </c>
      <c r="B27" s="1" t="s">
        <v>50</v>
      </c>
      <c r="C27" s="1" t="s">
        <v>20</v>
      </c>
      <c r="D27" s="1" t="s">
        <v>21</v>
      </c>
      <c r="E27" s="2">
        <v>1173.1199999999999</v>
      </c>
      <c r="F27" s="2">
        <v>18</v>
      </c>
      <c r="G27" s="2">
        <v>0</v>
      </c>
      <c r="H27" s="3">
        <v>45418</v>
      </c>
      <c r="I27" s="5">
        <v>293.27999999999997</v>
      </c>
    </row>
    <row r="28" spans="1:9" ht="15" thickBot="1" x14ac:dyDescent="0.4">
      <c r="A28" s="4" t="s">
        <v>22</v>
      </c>
      <c r="B28" s="1" t="s">
        <v>51</v>
      </c>
      <c r="C28" s="1" t="s">
        <v>24</v>
      </c>
      <c r="D28" s="1" t="s">
        <v>27</v>
      </c>
      <c r="E28" s="2">
        <v>675.54</v>
      </c>
      <c r="F28" s="2">
        <v>17</v>
      </c>
      <c r="G28" s="2">
        <v>0</v>
      </c>
      <c r="H28" s="3">
        <v>45420</v>
      </c>
      <c r="I28" s="5">
        <v>236.44</v>
      </c>
    </row>
    <row r="29" spans="1:9" ht="15" thickBot="1" x14ac:dyDescent="0.4">
      <c r="A29" s="4" t="s">
        <v>25</v>
      </c>
      <c r="B29" s="1" t="s">
        <v>14</v>
      </c>
      <c r="C29" s="1" t="s">
        <v>34</v>
      </c>
      <c r="D29" s="1" t="s">
        <v>12</v>
      </c>
      <c r="E29" s="2">
        <v>939.09</v>
      </c>
      <c r="F29" s="2">
        <v>2</v>
      </c>
      <c r="G29" s="2">
        <v>0.05</v>
      </c>
      <c r="H29" s="3">
        <v>45422</v>
      </c>
      <c r="I29" s="5">
        <v>356.85</v>
      </c>
    </row>
    <row r="30" spans="1:9" ht="15" thickBot="1" x14ac:dyDescent="0.4">
      <c r="A30" s="4" t="s">
        <v>52</v>
      </c>
      <c r="B30" s="1" t="s">
        <v>53</v>
      </c>
      <c r="C30" s="1" t="s">
        <v>18</v>
      </c>
      <c r="D30" s="1" t="s">
        <v>39</v>
      </c>
      <c r="E30" s="2">
        <v>983.34</v>
      </c>
      <c r="F30" s="2">
        <v>19</v>
      </c>
      <c r="G30" s="2">
        <v>0.1</v>
      </c>
      <c r="H30" s="3">
        <v>45426</v>
      </c>
      <c r="I30" s="5">
        <v>398.25</v>
      </c>
    </row>
    <row r="31" spans="1:9" ht="15" thickBot="1" x14ac:dyDescent="0.4">
      <c r="A31" s="4" t="s">
        <v>52</v>
      </c>
      <c r="B31" s="1" t="s">
        <v>23</v>
      </c>
      <c r="C31" s="1" t="s">
        <v>20</v>
      </c>
      <c r="D31" s="1" t="s">
        <v>21</v>
      </c>
      <c r="E31" s="2">
        <v>801.21</v>
      </c>
      <c r="F31" s="2">
        <v>3</v>
      </c>
      <c r="G31" s="2">
        <v>0.2</v>
      </c>
      <c r="H31" s="3">
        <v>45426</v>
      </c>
      <c r="I31" s="5">
        <v>160.24</v>
      </c>
    </row>
    <row r="32" spans="1:9" ht="15" thickBot="1" x14ac:dyDescent="0.4">
      <c r="A32" s="4" t="s">
        <v>54</v>
      </c>
      <c r="B32" s="1" t="s">
        <v>55</v>
      </c>
      <c r="C32" s="1" t="s">
        <v>24</v>
      </c>
      <c r="D32" s="1" t="s">
        <v>21</v>
      </c>
      <c r="E32" s="2">
        <v>1450.71</v>
      </c>
      <c r="F32" s="2">
        <v>5</v>
      </c>
      <c r="G32" s="2">
        <v>0.1</v>
      </c>
      <c r="H32" s="3">
        <v>45427</v>
      </c>
      <c r="I32" s="5">
        <v>326.41000000000003</v>
      </c>
    </row>
    <row r="33" spans="1:9" ht="15" thickBot="1" x14ac:dyDescent="0.4">
      <c r="A33" s="4" t="s">
        <v>49</v>
      </c>
      <c r="B33" s="1" t="s">
        <v>56</v>
      </c>
      <c r="C33" s="1" t="s">
        <v>34</v>
      </c>
      <c r="D33" s="1" t="s">
        <v>12</v>
      </c>
      <c r="E33" s="2">
        <v>1023.21</v>
      </c>
      <c r="F33" s="2">
        <v>18</v>
      </c>
      <c r="G33" s="2">
        <v>0.05</v>
      </c>
      <c r="H33" s="3">
        <v>45428</v>
      </c>
      <c r="I33" s="5">
        <v>388.82</v>
      </c>
    </row>
    <row r="34" spans="1:9" ht="15" thickBot="1" x14ac:dyDescent="0.4">
      <c r="A34" s="4" t="s">
        <v>28</v>
      </c>
      <c r="B34" s="1" t="s">
        <v>47</v>
      </c>
      <c r="C34" s="1" t="s">
        <v>11</v>
      </c>
      <c r="D34" s="1" t="s">
        <v>27</v>
      </c>
      <c r="E34" s="2">
        <v>853.72</v>
      </c>
      <c r="F34" s="2">
        <v>5</v>
      </c>
      <c r="G34" s="2">
        <v>0.15</v>
      </c>
      <c r="H34" s="3">
        <v>45428</v>
      </c>
      <c r="I34" s="5">
        <v>253.98</v>
      </c>
    </row>
    <row r="35" spans="1:9" ht="15" thickBot="1" x14ac:dyDescent="0.4">
      <c r="A35" s="4" t="s">
        <v>57</v>
      </c>
      <c r="B35" s="1" t="s">
        <v>43</v>
      </c>
      <c r="C35" s="1" t="s">
        <v>20</v>
      </c>
      <c r="D35" s="1" t="s">
        <v>21</v>
      </c>
      <c r="E35" s="2">
        <v>967.89</v>
      </c>
      <c r="F35" s="2">
        <v>10</v>
      </c>
      <c r="G35" s="2">
        <v>0.1</v>
      </c>
      <c r="H35" s="3">
        <v>45429</v>
      </c>
      <c r="I35" s="5">
        <v>217.78</v>
      </c>
    </row>
    <row r="36" spans="1:9" ht="15" thickBot="1" x14ac:dyDescent="0.4">
      <c r="A36" s="4" t="s">
        <v>58</v>
      </c>
      <c r="B36" s="1" t="s">
        <v>53</v>
      </c>
      <c r="C36" s="1" t="s">
        <v>24</v>
      </c>
      <c r="D36" s="1" t="s">
        <v>39</v>
      </c>
      <c r="E36" s="2">
        <v>1200.9000000000001</v>
      </c>
      <c r="F36" s="2">
        <v>14</v>
      </c>
      <c r="G36" s="2">
        <v>0.05</v>
      </c>
      <c r="H36" s="3">
        <v>45429</v>
      </c>
      <c r="I36" s="5">
        <v>513.38</v>
      </c>
    </row>
    <row r="37" spans="1:9" ht="15" thickBot="1" x14ac:dyDescent="0.4">
      <c r="A37" s="4" t="s">
        <v>13</v>
      </c>
      <c r="B37" s="1" t="s">
        <v>26</v>
      </c>
      <c r="C37" s="1" t="s">
        <v>11</v>
      </c>
      <c r="D37" s="1" t="s">
        <v>12</v>
      </c>
      <c r="E37" s="2">
        <v>472.38</v>
      </c>
      <c r="F37" s="2">
        <v>12</v>
      </c>
      <c r="G37" s="2">
        <v>0.2</v>
      </c>
      <c r="H37" s="3">
        <v>45429</v>
      </c>
      <c r="I37" s="5">
        <v>151.16</v>
      </c>
    </row>
    <row r="38" spans="1:9" ht="15" thickBot="1" x14ac:dyDescent="0.4">
      <c r="A38" s="4" t="s">
        <v>9</v>
      </c>
      <c r="B38" s="1" t="s">
        <v>55</v>
      </c>
      <c r="C38" s="1" t="s">
        <v>18</v>
      </c>
      <c r="D38" s="1" t="s">
        <v>39</v>
      </c>
      <c r="E38" s="2">
        <v>840.92</v>
      </c>
      <c r="F38" s="2">
        <v>9</v>
      </c>
      <c r="G38" s="2">
        <v>0.05</v>
      </c>
      <c r="H38" s="3">
        <v>45429</v>
      </c>
      <c r="I38" s="5">
        <v>359.49</v>
      </c>
    </row>
    <row r="39" spans="1:9" ht="15" thickBot="1" x14ac:dyDescent="0.4">
      <c r="A39" s="4" t="s">
        <v>52</v>
      </c>
      <c r="B39" s="1" t="s">
        <v>48</v>
      </c>
      <c r="C39" s="1" t="s">
        <v>34</v>
      </c>
      <c r="D39" s="1" t="s">
        <v>27</v>
      </c>
      <c r="E39" s="2">
        <v>1410.06</v>
      </c>
      <c r="F39" s="2">
        <v>11</v>
      </c>
      <c r="G39" s="2">
        <v>0.05</v>
      </c>
      <c r="H39" s="3">
        <v>45434</v>
      </c>
      <c r="I39" s="5">
        <v>468.84</v>
      </c>
    </row>
    <row r="40" spans="1:9" ht="15" thickBot="1" x14ac:dyDescent="0.4">
      <c r="A40" s="4" t="s">
        <v>44</v>
      </c>
      <c r="B40" s="1" t="s">
        <v>59</v>
      </c>
      <c r="C40" s="1" t="s">
        <v>34</v>
      </c>
      <c r="D40" s="1" t="s">
        <v>27</v>
      </c>
      <c r="E40" s="2">
        <v>773.09</v>
      </c>
      <c r="F40" s="2">
        <v>13</v>
      </c>
      <c r="G40" s="2">
        <v>0.15</v>
      </c>
      <c r="H40" s="3">
        <v>45434</v>
      </c>
      <c r="I40" s="5">
        <v>229.99</v>
      </c>
    </row>
    <row r="41" spans="1:9" ht="15" thickBot="1" x14ac:dyDescent="0.4">
      <c r="A41" s="4" t="s">
        <v>60</v>
      </c>
      <c r="B41" s="1" t="s">
        <v>61</v>
      </c>
      <c r="C41" s="1" t="s">
        <v>18</v>
      </c>
      <c r="D41" s="1" t="s">
        <v>12</v>
      </c>
      <c r="E41" s="2">
        <v>580.42999999999995</v>
      </c>
      <c r="F41" s="2">
        <v>19</v>
      </c>
      <c r="G41" s="2">
        <v>0.15</v>
      </c>
      <c r="H41" s="3">
        <v>45435</v>
      </c>
      <c r="I41" s="5">
        <v>197.35</v>
      </c>
    </row>
    <row r="42" spans="1:9" ht="15" thickBot="1" x14ac:dyDescent="0.4">
      <c r="A42" s="4" t="s">
        <v>19</v>
      </c>
      <c r="B42" s="1" t="s">
        <v>42</v>
      </c>
      <c r="C42" s="1" t="s">
        <v>20</v>
      </c>
      <c r="D42" s="1" t="s">
        <v>12</v>
      </c>
      <c r="E42" s="2">
        <v>1151.21</v>
      </c>
      <c r="F42" s="2">
        <v>15</v>
      </c>
      <c r="G42" s="2">
        <v>0.1</v>
      </c>
      <c r="H42" s="3">
        <v>45445</v>
      </c>
      <c r="I42" s="5">
        <v>414.44</v>
      </c>
    </row>
    <row r="43" spans="1:9" ht="15" thickBot="1" x14ac:dyDescent="0.4">
      <c r="A43" s="4" t="s">
        <v>52</v>
      </c>
      <c r="B43" s="1" t="s">
        <v>23</v>
      </c>
      <c r="C43" s="1" t="s">
        <v>34</v>
      </c>
      <c r="D43" s="1" t="s">
        <v>39</v>
      </c>
      <c r="E43" s="2">
        <v>1025.98</v>
      </c>
      <c r="F43" s="2">
        <v>5</v>
      </c>
      <c r="G43" s="2">
        <v>0.2</v>
      </c>
      <c r="H43" s="3">
        <v>45447</v>
      </c>
      <c r="I43" s="5">
        <v>369.35</v>
      </c>
    </row>
    <row r="44" spans="1:9" ht="15" thickBot="1" x14ac:dyDescent="0.4">
      <c r="A44" s="4" t="s">
        <v>40</v>
      </c>
      <c r="B44" s="1" t="s">
        <v>56</v>
      </c>
      <c r="C44" s="1" t="s">
        <v>18</v>
      </c>
      <c r="D44" s="1" t="s">
        <v>39</v>
      </c>
      <c r="E44" s="2">
        <v>556.41999999999996</v>
      </c>
      <c r="F44" s="2">
        <v>11</v>
      </c>
      <c r="G44" s="2">
        <v>0.15</v>
      </c>
      <c r="H44" s="3">
        <v>45447</v>
      </c>
      <c r="I44" s="5">
        <v>212.83</v>
      </c>
    </row>
    <row r="45" spans="1:9" ht="15" thickBot="1" x14ac:dyDescent="0.4">
      <c r="A45" s="4" t="s">
        <v>57</v>
      </c>
      <c r="B45" s="1" t="s">
        <v>23</v>
      </c>
      <c r="C45" s="1" t="s">
        <v>34</v>
      </c>
      <c r="D45" s="1" t="s">
        <v>12</v>
      </c>
      <c r="E45" s="2">
        <v>840.85</v>
      </c>
      <c r="F45" s="2">
        <v>19</v>
      </c>
      <c r="G45" s="2">
        <v>0.1</v>
      </c>
      <c r="H45" s="3">
        <v>45448</v>
      </c>
      <c r="I45" s="5">
        <v>302.70999999999998</v>
      </c>
    </row>
    <row r="46" spans="1:9" ht="15" thickBot="1" x14ac:dyDescent="0.4">
      <c r="A46" s="4" t="s">
        <v>30</v>
      </c>
      <c r="B46" s="1" t="s">
        <v>61</v>
      </c>
      <c r="C46" s="1" t="s">
        <v>24</v>
      </c>
      <c r="D46" s="1" t="s">
        <v>27</v>
      </c>
      <c r="E46" s="2">
        <v>1227.25</v>
      </c>
      <c r="F46" s="2">
        <v>12</v>
      </c>
      <c r="G46" s="2">
        <v>0.15</v>
      </c>
      <c r="H46" s="3">
        <v>45448</v>
      </c>
      <c r="I46" s="5">
        <v>365.11</v>
      </c>
    </row>
    <row r="47" spans="1:9" ht="15" thickBot="1" x14ac:dyDescent="0.4">
      <c r="A47" s="4" t="s">
        <v>16</v>
      </c>
      <c r="B47" s="1" t="s">
        <v>62</v>
      </c>
      <c r="C47" s="1" t="s">
        <v>34</v>
      </c>
      <c r="D47" s="1" t="s">
        <v>21</v>
      </c>
      <c r="E47" s="2">
        <v>856.7</v>
      </c>
      <c r="F47" s="2">
        <v>2</v>
      </c>
      <c r="G47" s="2">
        <v>0</v>
      </c>
      <c r="H47" s="3">
        <v>45449</v>
      </c>
      <c r="I47" s="5">
        <v>214.18</v>
      </c>
    </row>
    <row r="48" spans="1:9" ht="15" thickBot="1" x14ac:dyDescent="0.4">
      <c r="A48" s="4" t="s">
        <v>54</v>
      </c>
      <c r="B48" s="1" t="s">
        <v>56</v>
      </c>
      <c r="C48" s="1" t="s">
        <v>34</v>
      </c>
      <c r="D48" s="1" t="s">
        <v>39</v>
      </c>
      <c r="E48" s="2">
        <v>1225.42</v>
      </c>
      <c r="F48" s="2">
        <v>8</v>
      </c>
      <c r="G48" s="2">
        <v>0.15</v>
      </c>
      <c r="H48" s="3">
        <v>45449</v>
      </c>
      <c r="I48" s="5">
        <v>468.72</v>
      </c>
    </row>
    <row r="49" spans="1:9" ht="15" thickBot="1" x14ac:dyDescent="0.4">
      <c r="A49" s="4" t="s">
        <v>63</v>
      </c>
      <c r="B49" s="1" t="s">
        <v>31</v>
      </c>
      <c r="C49" s="1" t="s">
        <v>24</v>
      </c>
      <c r="D49" s="1" t="s">
        <v>39</v>
      </c>
      <c r="E49" s="2">
        <v>1001.57</v>
      </c>
      <c r="F49" s="2">
        <v>12</v>
      </c>
      <c r="G49" s="2">
        <v>0</v>
      </c>
      <c r="H49" s="3">
        <v>45450</v>
      </c>
      <c r="I49" s="5">
        <v>450.71</v>
      </c>
    </row>
    <row r="50" spans="1:9" ht="15" thickBot="1" x14ac:dyDescent="0.4">
      <c r="A50" s="4" t="s">
        <v>57</v>
      </c>
      <c r="B50" s="1" t="s">
        <v>26</v>
      </c>
      <c r="C50" s="1" t="s">
        <v>18</v>
      </c>
      <c r="D50" s="1" t="s">
        <v>27</v>
      </c>
      <c r="E50" s="2">
        <v>1186.8499999999999</v>
      </c>
      <c r="F50" s="2">
        <v>19</v>
      </c>
      <c r="G50" s="2">
        <v>0.2</v>
      </c>
      <c r="H50" s="3">
        <v>45451</v>
      </c>
      <c r="I50" s="5">
        <v>332.32</v>
      </c>
    </row>
    <row r="51" spans="1:9" ht="15" thickBot="1" x14ac:dyDescent="0.4">
      <c r="A51" s="4" t="s">
        <v>44</v>
      </c>
      <c r="B51" s="1" t="s">
        <v>51</v>
      </c>
      <c r="C51" s="1" t="s">
        <v>20</v>
      </c>
      <c r="D51" s="1" t="s">
        <v>21</v>
      </c>
      <c r="E51" s="2">
        <v>775.45</v>
      </c>
      <c r="F51" s="2">
        <v>6</v>
      </c>
      <c r="G51" s="2">
        <v>0.1</v>
      </c>
      <c r="H51" s="3">
        <v>45457</v>
      </c>
      <c r="I51" s="5">
        <v>174.48</v>
      </c>
    </row>
    <row r="52" spans="1:9" ht="15" thickBot="1" x14ac:dyDescent="0.4">
      <c r="A52" s="4" t="s">
        <v>25</v>
      </c>
      <c r="B52" s="1" t="s">
        <v>33</v>
      </c>
      <c r="C52" s="1" t="s">
        <v>20</v>
      </c>
      <c r="D52" s="1" t="s">
        <v>21</v>
      </c>
      <c r="E52" s="2">
        <v>1021.47</v>
      </c>
      <c r="F52" s="2">
        <v>6</v>
      </c>
      <c r="G52" s="2">
        <v>0.05</v>
      </c>
      <c r="H52" s="3">
        <v>45461</v>
      </c>
      <c r="I52" s="5">
        <v>242.6</v>
      </c>
    </row>
    <row r="53" spans="1:9" ht="15" thickBot="1" x14ac:dyDescent="0.4">
      <c r="A53" s="4" t="s">
        <v>58</v>
      </c>
      <c r="B53" s="1" t="s">
        <v>23</v>
      </c>
      <c r="C53" s="1" t="s">
        <v>20</v>
      </c>
      <c r="D53" s="1" t="s">
        <v>15</v>
      </c>
      <c r="E53" s="2">
        <v>1226.6199999999999</v>
      </c>
      <c r="F53" s="2">
        <v>7</v>
      </c>
      <c r="G53" s="2">
        <v>0.1</v>
      </c>
      <c r="H53" s="3">
        <v>45463</v>
      </c>
      <c r="I53" s="5">
        <v>551.98</v>
      </c>
    </row>
    <row r="54" spans="1:9" ht="15" thickBot="1" x14ac:dyDescent="0.4">
      <c r="A54" s="4" t="s">
        <v>22</v>
      </c>
      <c r="B54" s="1" t="s">
        <v>64</v>
      </c>
      <c r="C54" s="1" t="s">
        <v>20</v>
      </c>
      <c r="D54" s="1" t="s">
        <v>27</v>
      </c>
      <c r="E54" s="2">
        <v>1086.93</v>
      </c>
      <c r="F54" s="2">
        <v>2</v>
      </c>
      <c r="G54" s="2">
        <v>0</v>
      </c>
      <c r="H54" s="3">
        <v>45464</v>
      </c>
      <c r="I54" s="5">
        <v>380.43</v>
      </c>
    </row>
    <row r="55" spans="1:9" ht="15" thickBot="1" x14ac:dyDescent="0.4">
      <c r="A55" s="4" t="s">
        <v>65</v>
      </c>
      <c r="B55" s="1" t="s">
        <v>48</v>
      </c>
      <c r="C55" s="1" t="s">
        <v>11</v>
      </c>
      <c r="D55" s="1" t="s">
        <v>12</v>
      </c>
      <c r="E55" s="2">
        <v>942.9</v>
      </c>
      <c r="F55" s="2">
        <v>18</v>
      </c>
      <c r="G55" s="2">
        <v>0.1</v>
      </c>
      <c r="H55" s="3">
        <v>45466</v>
      </c>
      <c r="I55" s="5">
        <v>339.44</v>
      </c>
    </row>
    <row r="56" spans="1:9" ht="15" thickBot="1" x14ac:dyDescent="0.4">
      <c r="A56" s="4" t="s">
        <v>32</v>
      </c>
      <c r="B56" s="1" t="s">
        <v>38</v>
      </c>
      <c r="C56" s="1" t="s">
        <v>24</v>
      </c>
      <c r="D56" s="1" t="s">
        <v>21</v>
      </c>
      <c r="E56" s="2">
        <v>818.8</v>
      </c>
      <c r="F56" s="2">
        <v>15</v>
      </c>
      <c r="G56" s="2">
        <v>0.15</v>
      </c>
      <c r="H56" s="3">
        <v>45468</v>
      </c>
      <c r="I56" s="5">
        <v>173.99</v>
      </c>
    </row>
    <row r="57" spans="1:9" ht="15" thickBot="1" x14ac:dyDescent="0.4">
      <c r="A57" s="4" t="s">
        <v>19</v>
      </c>
      <c r="B57" s="1" t="s">
        <v>14</v>
      </c>
      <c r="C57" s="1" t="s">
        <v>20</v>
      </c>
      <c r="D57" s="1" t="s">
        <v>27</v>
      </c>
      <c r="E57" s="2">
        <v>919.04</v>
      </c>
      <c r="F57" s="2">
        <v>10</v>
      </c>
      <c r="G57" s="2">
        <v>0.2</v>
      </c>
      <c r="H57" s="3">
        <v>45468</v>
      </c>
      <c r="I57" s="5">
        <v>257.33</v>
      </c>
    </row>
    <row r="58" spans="1:9" ht="15" thickBot="1" x14ac:dyDescent="0.4">
      <c r="A58" s="4" t="s">
        <v>22</v>
      </c>
      <c r="B58" s="1" t="s">
        <v>66</v>
      </c>
      <c r="C58" s="1" t="s">
        <v>34</v>
      </c>
      <c r="D58" s="1" t="s">
        <v>12</v>
      </c>
      <c r="E58" s="2">
        <v>973.26</v>
      </c>
      <c r="F58" s="2">
        <v>11</v>
      </c>
      <c r="G58" s="2">
        <v>0</v>
      </c>
      <c r="H58" s="3">
        <v>45470</v>
      </c>
      <c r="I58" s="5">
        <v>389.3</v>
      </c>
    </row>
    <row r="59" spans="1:9" ht="15" thickBot="1" x14ac:dyDescent="0.4">
      <c r="A59" s="4" t="s">
        <v>41</v>
      </c>
      <c r="B59" s="1" t="s">
        <v>64</v>
      </c>
      <c r="C59" s="1" t="s">
        <v>24</v>
      </c>
      <c r="D59" s="1" t="s">
        <v>21</v>
      </c>
      <c r="E59" s="2">
        <v>741.61</v>
      </c>
      <c r="F59" s="2">
        <v>1</v>
      </c>
      <c r="G59" s="2">
        <v>0.2</v>
      </c>
      <c r="H59" s="3">
        <v>45471</v>
      </c>
      <c r="I59" s="5">
        <v>148.32</v>
      </c>
    </row>
    <row r="60" spans="1:9" ht="15" thickBot="1" x14ac:dyDescent="0.4">
      <c r="A60" s="4" t="s">
        <v>67</v>
      </c>
      <c r="B60" s="1" t="s">
        <v>38</v>
      </c>
      <c r="C60" s="1" t="s">
        <v>24</v>
      </c>
      <c r="D60" s="1" t="s">
        <v>12</v>
      </c>
      <c r="E60" s="2">
        <v>1248.82</v>
      </c>
      <c r="F60" s="2">
        <v>2</v>
      </c>
      <c r="G60" s="2">
        <v>0.1</v>
      </c>
      <c r="H60" s="3">
        <v>45473</v>
      </c>
      <c r="I60" s="5">
        <v>449.58</v>
      </c>
    </row>
    <row r="61" spans="1:9" ht="15" thickBot="1" x14ac:dyDescent="0.4">
      <c r="A61" s="4" t="s">
        <v>13</v>
      </c>
      <c r="B61" s="1" t="s">
        <v>59</v>
      </c>
      <c r="C61" s="1" t="s">
        <v>11</v>
      </c>
      <c r="D61" s="1" t="s">
        <v>15</v>
      </c>
      <c r="E61" s="2">
        <v>1360.36</v>
      </c>
      <c r="F61" s="2">
        <v>17</v>
      </c>
      <c r="G61" s="2">
        <v>0</v>
      </c>
      <c r="H61" s="3">
        <v>45473</v>
      </c>
      <c r="I61" s="5">
        <v>680.18</v>
      </c>
    </row>
    <row r="62" spans="1:9" ht="15" thickBot="1" x14ac:dyDescent="0.4">
      <c r="A62" s="4" t="s">
        <v>57</v>
      </c>
      <c r="B62" s="1" t="s">
        <v>31</v>
      </c>
      <c r="C62" s="1" t="s">
        <v>18</v>
      </c>
      <c r="D62" s="1" t="s">
        <v>12</v>
      </c>
      <c r="E62" s="2">
        <v>1383.3</v>
      </c>
      <c r="F62" s="2">
        <v>8</v>
      </c>
      <c r="G62" s="2">
        <v>0.1</v>
      </c>
      <c r="H62" s="3">
        <v>45478</v>
      </c>
      <c r="I62" s="5">
        <v>497.99</v>
      </c>
    </row>
    <row r="63" spans="1:9" ht="15" thickBot="1" x14ac:dyDescent="0.4">
      <c r="A63" s="4" t="s">
        <v>35</v>
      </c>
      <c r="B63" s="1" t="s">
        <v>55</v>
      </c>
      <c r="C63" s="1" t="s">
        <v>34</v>
      </c>
      <c r="D63" s="1" t="s">
        <v>39</v>
      </c>
      <c r="E63" s="2">
        <v>488.99</v>
      </c>
      <c r="F63" s="2">
        <v>9</v>
      </c>
      <c r="G63" s="2">
        <v>0</v>
      </c>
      <c r="H63" s="3">
        <v>45479</v>
      </c>
      <c r="I63" s="5">
        <v>220.05</v>
      </c>
    </row>
    <row r="64" spans="1:9" ht="15" thickBot="1" x14ac:dyDescent="0.4">
      <c r="A64" s="4" t="s">
        <v>30</v>
      </c>
      <c r="B64" s="1" t="s">
        <v>31</v>
      </c>
      <c r="C64" s="1" t="s">
        <v>18</v>
      </c>
      <c r="D64" s="1" t="s">
        <v>27</v>
      </c>
      <c r="E64" s="2">
        <v>933.71</v>
      </c>
      <c r="F64" s="2">
        <v>17</v>
      </c>
      <c r="G64" s="2">
        <v>0.1</v>
      </c>
      <c r="H64" s="3">
        <v>45481</v>
      </c>
      <c r="I64" s="5">
        <v>294.12</v>
      </c>
    </row>
    <row r="65" spans="1:9" ht="15" thickBot="1" x14ac:dyDescent="0.4">
      <c r="A65" s="4" t="s">
        <v>67</v>
      </c>
      <c r="B65" s="1" t="s">
        <v>10</v>
      </c>
      <c r="C65" s="1" t="s">
        <v>11</v>
      </c>
      <c r="D65" s="1" t="s">
        <v>21</v>
      </c>
      <c r="E65" s="2">
        <v>1005.53</v>
      </c>
      <c r="F65" s="2">
        <v>17</v>
      </c>
      <c r="G65" s="2">
        <v>0.2</v>
      </c>
      <c r="H65" s="3">
        <v>45481</v>
      </c>
      <c r="I65" s="5">
        <v>201.11</v>
      </c>
    </row>
    <row r="66" spans="1:9" ht="15" thickBot="1" x14ac:dyDescent="0.4">
      <c r="A66" s="4" t="s">
        <v>41</v>
      </c>
      <c r="B66" s="1" t="s">
        <v>61</v>
      </c>
      <c r="C66" s="1" t="s">
        <v>20</v>
      </c>
      <c r="D66" s="1" t="s">
        <v>21</v>
      </c>
      <c r="E66" s="2">
        <v>1100.0999999999999</v>
      </c>
      <c r="F66" s="2">
        <v>5</v>
      </c>
      <c r="G66" s="2">
        <v>0.05</v>
      </c>
      <c r="H66" s="3">
        <v>45482</v>
      </c>
      <c r="I66" s="5">
        <v>261.27</v>
      </c>
    </row>
    <row r="67" spans="1:9" ht="15" thickBot="1" x14ac:dyDescent="0.4">
      <c r="A67" s="4" t="s">
        <v>67</v>
      </c>
      <c r="B67" s="1" t="s">
        <v>23</v>
      </c>
      <c r="C67" s="1" t="s">
        <v>24</v>
      </c>
      <c r="D67" s="1" t="s">
        <v>27</v>
      </c>
      <c r="E67" s="2">
        <v>1034.7</v>
      </c>
      <c r="F67" s="2">
        <v>15</v>
      </c>
      <c r="G67" s="2">
        <v>0.15</v>
      </c>
      <c r="H67" s="3">
        <v>45487</v>
      </c>
      <c r="I67" s="5">
        <v>307.82</v>
      </c>
    </row>
    <row r="68" spans="1:9" ht="15" thickBot="1" x14ac:dyDescent="0.4">
      <c r="A68" s="4" t="s">
        <v>65</v>
      </c>
      <c r="B68" s="1" t="s">
        <v>31</v>
      </c>
      <c r="C68" s="1" t="s">
        <v>20</v>
      </c>
      <c r="D68" s="1" t="s">
        <v>12</v>
      </c>
      <c r="E68" s="2">
        <v>876.44</v>
      </c>
      <c r="F68" s="2">
        <v>12</v>
      </c>
      <c r="G68" s="2">
        <v>0.05</v>
      </c>
      <c r="H68" s="3">
        <v>45488</v>
      </c>
      <c r="I68" s="5">
        <v>333.05</v>
      </c>
    </row>
    <row r="69" spans="1:9" ht="15" thickBot="1" x14ac:dyDescent="0.4">
      <c r="A69" s="4" t="s">
        <v>68</v>
      </c>
      <c r="B69" s="1" t="s">
        <v>55</v>
      </c>
      <c r="C69" s="1" t="s">
        <v>11</v>
      </c>
      <c r="D69" s="1" t="s">
        <v>27</v>
      </c>
      <c r="E69" s="2">
        <v>1371.34</v>
      </c>
      <c r="F69" s="2">
        <v>5</v>
      </c>
      <c r="G69" s="2">
        <v>0.05</v>
      </c>
      <c r="H69" s="3">
        <v>45488</v>
      </c>
      <c r="I69" s="5">
        <v>455.97</v>
      </c>
    </row>
    <row r="70" spans="1:9" ht="15" thickBot="1" x14ac:dyDescent="0.4">
      <c r="A70" s="4" t="s">
        <v>57</v>
      </c>
      <c r="B70" s="1" t="s">
        <v>47</v>
      </c>
      <c r="C70" s="1" t="s">
        <v>24</v>
      </c>
      <c r="D70" s="1" t="s">
        <v>21</v>
      </c>
      <c r="E70" s="2">
        <v>1020.26</v>
      </c>
      <c r="F70" s="2">
        <v>11</v>
      </c>
      <c r="G70" s="2">
        <v>0.05</v>
      </c>
      <c r="H70" s="3">
        <v>45494</v>
      </c>
      <c r="I70" s="5">
        <v>242.31</v>
      </c>
    </row>
    <row r="71" spans="1:9" ht="15" thickBot="1" x14ac:dyDescent="0.4">
      <c r="A71" s="4" t="s">
        <v>44</v>
      </c>
      <c r="B71" s="1" t="s">
        <v>10</v>
      </c>
      <c r="C71" s="1" t="s">
        <v>34</v>
      </c>
      <c r="D71" s="1" t="s">
        <v>39</v>
      </c>
      <c r="E71" s="2">
        <v>804.81</v>
      </c>
      <c r="F71" s="2">
        <v>1</v>
      </c>
      <c r="G71" s="2">
        <v>0.05</v>
      </c>
      <c r="H71" s="3">
        <v>45502</v>
      </c>
      <c r="I71" s="5">
        <v>344.06</v>
      </c>
    </row>
    <row r="72" spans="1:9" ht="15" thickBot="1" x14ac:dyDescent="0.4">
      <c r="A72" s="4" t="s">
        <v>22</v>
      </c>
      <c r="B72" s="1" t="s">
        <v>55</v>
      </c>
      <c r="C72" s="1" t="s">
        <v>34</v>
      </c>
      <c r="D72" s="1" t="s">
        <v>21</v>
      </c>
      <c r="E72" s="2">
        <v>608.66</v>
      </c>
      <c r="F72" s="2">
        <v>1</v>
      </c>
      <c r="G72" s="2">
        <v>0.05</v>
      </c>
      <c r="H72" s="3">
        <v>45503</v>
      </c>
      <c r="I72" s="5">
        <v>144.56</v>
      </c>
    </row>
    <row r="73" spans="1:9" ht="15" thickBot="1" x14ac:dyDescent="0.4">
      <c r="A73" s="4" t="s">
        <v>68</v>
      </c>
      <c r="B73" s="1" t="s">
        <v>69</v>
      </c>
      <c r="C73" s="1" t="s">
        <v>20</v>
      </c>
      <c r="D73" s="1" t="s">
        <v>39</v>
      </c>
      <c r="E73" s="2">
        <v>981.2</v>
      </c>
      <c r="F73" s="2">
        <v>19</v>
      </c>
      <c r="G73" s="2">
        <v>0</v>
      </c>
      <c r="H73" s="3">
        <v>45504</v>
      </c>
      <c r="I73" s="5">
        <v>441.54</v>
      </c>
    </row>
    <row r="74" spans="1:9" ht="15" thickBot="1" x14ac:dyDescent="0.4">
      <c r="A74" s="4" t="s">
        <v>70</v>
      </c>
      <c r="B74" s="1" t="s">
        <v>55</v>
      </c>
      <c r="C74" s="1" t="s">
        <v>18</v>
      </c>
      <c r="D74" s="1" t="s">
        <v>21</v>
      </c>
      <c r="E74" s="2">
        <v>539.77</v>
      </c>
      <c r="F74" s="2">
        <v>10</v>
      </c>
      <c r="G74" s="2">
        <v>0.15</v>
      </c>
      <c r="H74" s="3">
        <v>45509</v>
      </c>
      <c r="I74" s="5">
        <v>114.7</v>
      </c>
    </row>
    <row r="75" spans="1:9" ht="15" thickBot="1" x14ac:dyDescent="0.4">
      <c r="A75" s="4" t="s">
        <v>13</v>
      </c>
      <c r="B75" s="1" t="s">
        <v>71</v>
      </c>
      <c r="C75" s="1" t="s">
        <v>20</v>
      </c>
      <c r="D75" s="1" t="s">
        <v>12</v>
      </c>
      <c r="E75" s="2">
        <v>804.45</v>
      </c>
      <c r="F75" s="2">
        <v>5</v>
      </c>
      <c r="G75" s="2">
        <v>0.2</v>
      </c>
      <c r="H75" s="3">
        <v>45509</v>
      </c>
      <c r="I75" s="5">
        <v>257.42</v>
      </c>
    </row>
    <row r="76" spans="1:9" ht="15" thickBot="1" x14ac:dyDescent="0.4">
      <c r="A76" s="4" t="s">
        <v>70</v>
      </c>
      <c r="B76" s="1" t="s">
        <v>38</v>
      </c>
      <c r="C76" s="1" t="s">
        <v>11</v>
      </c>
      <c r="D76" s="1" t="s">
        <v>21</v>
      </c>
      <c r="E76" s="2">
        <v>1526.6</v>
      </c>
      <c r="F76" s="2">
        <v>13</v>
      </c>
      <c r="G76" s="2">
        <v>0.2</v>
      </c>
      <c r="H76" s="3">
        <v>45512</v>
      </c>
      <c r="I76" s="5">
        <v>305.32</v>
      </c>
    </row>
    <row r="77" spans="1:9" ht="15" thickBot="1" x14ac:dyDescent="0.4">
      <c r="A77" s="4" t="s">
        <v>13</v>
      </c>
      <c r="B77" s="1" t="s">
        <v>29</v>
      </c>
      <c r="C77" s="1" t="s">
        <v>11</v>
      </c>
      <c r="D77" s="1" t="s">
        <v>21</v>
      </c>
      <c r="E77" s="2">
        <v>1215.26</v>
      </c>
      <c r="F77" s="2">
        <v>5</v>
      </c>
      <c r="G77" s="2">
        <v>0.15</v>
      </c>
      <c r="H77" s="3">
        <v>45513</v>
      </c>
      <c r="I77" s="5">
        <v>258.24</v>
      </c>
    </row>
    <row r="78" spans="1:9" ht="15" thickBot="1" x14ac:dyDescent="0.4">
      <c r="A78" s="4" t="s">
        <v>19</v>
      </c>
      <c r="B78" s="1" t="s">
        <v>53</v>
      </c>
      <c r="C78" s="1" t="s">
        <v>34</v>
      </c>
      <c r="D78" s="1" t="s">
        <v>27</v>
      </c>
      <c r="E78" s="2">
        <v>1261.3399999999999</v>
      </c>
      <c r="F78" s="2">
        <v>3</v>
      </c>
      <c r="G78" s="2">
        <v>0</v>
      </c>
      <c r="H78" s="3">
        <v>45519</v>
      </c>
      <c r="I78" s="5">
        <v>441.47</v>
      </c>
    </row>
    <row r="79" spans="1:9" ht="15" thickBot="1" x14ac:dyDescent="0.4">
      <c r="A79" s="4" t="s">
        <v>72</v>
      </c>
      <c r="B79" s="1" t="s">
        <v>45</v>
      </c>
      <c r="C79" s="1" t="s">
        <v>24</v>
      </c>
      <c r="D79" s="1" t="s">
        <v>27</v>
      </c>
      <c r="E79" s="2">
        <v>518.07000000000005</v>
      </c>
      <c r="F79" s="2">
        <v>7</v>
      </c>
      <c r="G79" s="2">
        <v>0.05</v>
      </c>
      <c r="H79" s="3">
        <v>45522</v>
      </c>
      <c r="I79" s="5">
        <v>172.26</v>
      </c>
    </row>
    <row r="80" spans="1:9" ht="15" thickBot="1" x14ac:dyDescent="0.4">
      <c r="A80" s="4" t="s">
        <v>30</v>
      </c>
      <c r="B80" s="1" t="s">
        <v>29</v>
      </c>
      <c r="C80" s="1" t="s">
        <v>11</v>
      </c>
      <c r="D80" s="1" t="s">
        <v>39</v>
      </c>
      <c r="E80" s="2">
        <v>1111.3399999999999</v>
      </c>
      <c r="F80" s="2">
        <v>1</v>
      </c>
      <c r="G80" s="2">
        <v>0</v>
      </c>
      <c r="H80" s="3">
        <v>45523</v>
      </c>
      <c r="I80" s="5">
        <v>500.1</v>
      </c>
    </row>
    <row r="81" spans="1:9" ht="15" thickBot="1" x14ac:dyDescent="0.4">
      <c r="A81" s="4" t="s">
        <v>22</v>
      </c>
      <c r="B81" s="1" t="s">
        <v>31</v>
      </c>
      <c r="C81" s="1" t="s">
        <v>18</v>
      </c>
      <c r="D81" s="1" t="s">
        <v>15</v>
      </c>
      <c r="E81" s="2">
        <v>1291.47</v>
      </c>
      <c r="F81" s="2">
        <v>18</v>
      </c>
      <c r="G81" s="2">
        <v>0.1</v>
      </c>
      <c r="H81" s="3">
        <v>45526</v>
      </c>
      <c r="I81" s="5">
        <v>581.16</v>
      </c>
    </row>
    <row r="82" spans="1:9" ht="15" thickBot="1" x14ac:dyDescent="0.4">
      <c r="A82" s="4" t="s">
        <v>25</v>
      </c>
      <c r="B82" s="1" t="s">
        <v>55</v>
      </c>
      <c r="C82" s="1" t="s">
        <v>24</v>
      </c>
      <c r="D82" s="1" t="s">
        <v>12</v>
      </c>
      <c r="E82" s="2">
        <v>679.71</v>
      </c>
      <c r="F82" s="2">
        <v>19</v>
      </c>
      <c r="G82" s="2">
        <v>0</v>
      </c>
      <c r="H82" s="3">
        <v>45534</v>
      </c>
      <c r="I82" s="5">
        <v>271.88</v>
      </c>
    </row>
    <row r="83" spans="1:9" ht="15" thickBot="1" x14ac:dyDescent="0.4">
      <c r="A83" s="4" t="s">
        <v>68</v>
      </c>
      <c r="B83" s="1" t="s">
        <v>33</v>
      </c>
      <c r="C83" s="1" t="s">
        <v>18</v>
      </c>
      <c r="D83" s="1" t="s">
        <v>27</v>
      </c>
      <c r="E83" s="2">
        <v>1143.69</v>
      </c>
      <c r="F83" s="2">
        <v>17</v>
      </c>
      <c r="G83" s="2">
        <v>0</v>
      </c>
      <c r="H83" s="3">
        <v>45534</v>
      </c>
      <c r="I83" s="5">
        <v>400.29</v>
      </c>
    </row>
    <row r="84" spans="1:9" ht="15" thickBot="1" x14ac:dyDescent="0.4">
      <c r="A84" s="4" t="s">
        <v>52</v>
      </c>
      <c r="B84" s="1" t="s">
        <v>50</v>
      </c>
      <c r="C84" s="1" t="s">
        <v>34</v>
      </c>
      <c r="D84" s="1" t="s">
        <v>21</v>
      </c>
      <c r="E84" s="2">
        <v>790.08</v>
      </c>
      <c r="F84" s="2">
        <v>7</v>
      </c>
      <c r="G84" s="2">
        <v>0.1</v>
      </c>
      <c r="H84" s="3">
        <v>45536</v>
      </c>
      <c r="I84" s="5">
        <v>177.77</v>
      </c>
    </row>
    <row r="85" spans="1:9" ht="15" thickBot="1" x14ac:dyDescent="0.4">
      <c r="A85" s="4" t="s">
        <v>19</v>
      </c>
      <c r="B85" s="1" t="s">
        <v>48</v>
      </c>
      <c r="C85" s="1" t="s">
        <v>34</v>
      </c>
      <c r="D85" s="1" t="s">
        <v>12</v>
      </c>
      <c r="E85" s="2">
        <v>1070.68</v>
      </c>
      <c r="F85" s="2">
        <v>7</v>
      </c>
      <c r="G85" s="2">
        <v>0.05</v>
      </c>
      <c r="H85" s="3">
        <v>45536</v>
      </c>
      <c r="I85" s="5">
        <v>406.86</v>
      </c>
    </row>
    <row r="86" spans="1:9" ht="15" thickBot="1" x14ac:dyDescent="0.4">
      <c r="A86" s="4" t="s">
        <v>58</v>
      </c>
      <c r="B86" s="1" t="s">
        <v>36</v>
      </c>
      <c r="C86" s="1" t="s">
        <v>11</v>
      </c>
      <c r="D86" s="1" t="s">
        <v>15</v>
      </c>
      <c r="E86" s="2">
        <v>1168.8900000000001</v>
      </c>
      <c r="F86" s="2">
        <v>4</v>
      </c>
      <c r="G86" s="2">
        <v>0.1</v>
      </c>
      <c r="H86" s="3">
        <v>45544</v>
      </c>
      <c r="I86" s="5">
        <v>526</v>
      </c>
    </row>
    <row r="87" spans="1:9" ht="15" thickBot="1" x14ac:dyDescent="0.4">
      <c r="A87" s="4" t="s">
        <v>67</v>
      </c>
      <c r="B87" s="1" t="s">
        <v>10</v>
      </c>
      <c r="C87" s="1" t="s">
        <v>20</v>
      </c>
      <c r="D87" s="1" t="s">
        <v>21</v>
      </c>
      <c r="E87" s="2">
        <v>1335.87</v>
      </c>
      <c r="F87" s="2">
        <v>17</v>
      </c>
      <c r="G87" s="2">
        <v>0</v>
      </c>
      <c r="H87" s="3">
        <v>45544</v>
      </c>
      <c r="I87" s="5">
        <v>333.97</v>
      </c>
    </row>
    <row r="88" spans="1:9" ht="15" thickBot="1" x14ac:dyDescent="0.4">
      <c r="A88" s="4" t="s">
        <v>40</v>
      </c>
      <c r="B88" s="1" t="s">
        <v>55</v>
      </c>
      <c r="C88" s="1" t="s">
        <v>18</v>
      </c>
      <c r="D88" s="1" t="s">
        <v>27</v>
      </c>
      <c r="E88" s="2">
        <v>873.7</v>
      </c>
      <c r="F88" s="2">
        <v>9</v>
      </c>
      <c r="G88" s="2">
        <v>0</v>
      </c>
      <c r="H88" s="3">
        <v>45546</v>
      </c>
      <c r="I88" s="5">
        <v>305.8</v>
      </c>
    </row>
    <row r="89" spans="1:9" ht="15" thickBot="1" x14ac:dyDescent="0.4">
      <c r="A89" s="4" t="s">
        <v>72</v>
      </c>
      <c r="B89" s="1" t="s">
        <v>64</v>
      </c>
      <c r="C89" s="1" t="s">
        <v>11</v>
      </c>
      <c r="D89" s="1" t="s">
        <v>39</v>
      </c>
      <c r="E89" s="2">
        <v>1443.98</v>
      </c>
      <c r="F89" s="2">
        <v>19</v>
      </c>
      <c r="G89" s="2">
        <v>0</v>
      </c>
      <c r="H89" s="3">
        <v>45547</v>
      </c>
      <c r="I89" s="5">
        <v>649.79</v>
      </c>
    </row>
    <row r="90" spans="1:9" ht="15" thickBot="1" x14ac:dyDescent="0.4">
      <c r="A90" s="4" t="s">
        <v>40</v>
      </c>
      <c r="B90" s="1" t="s">
        <v>23</v>
      </c>
      <c r="C90" s="1" t="s">
        <v>18</v>
      </c>
      <c r="D90" s="1" t="s">
        <v>39</v>
      </c>
      <c r="E90" s="2">
        <v>1154.33</v>
      </c>
      <c r="F90" s="2">
        <v>11</v>
      </c>
      <c r="G90" s="2">
        <v>0.15</v>
      </c>
      <c r="H90" s="3">
        <v>45549</v>
      </c>
      <c r="I90" s="5">
        <v>441.53</v>
      </c>
    </row>
    <row r="91" spans="1:9" ht="15" thickBot="1" x14ac:dyDescent="0.4">
      <c r="A91" s="4" t="s">
        <v>49</v>
      </c>
      <c r="B91" s="1" t="s">
        <v>50</v>
      </c>
      <c r="C91" s="1" t="s">
        <v>20</v>
      </c>
      <c r="D91" s="1" t="s">
        <v>12</v>
      </c>
      <c r="E91" s="2">
        <v>1264.49</v>
      </c>
      <c r="F91" s="2">
        <v>16</v>
      </c>
      <c r="G91" s="2">
        <v>0.05</v>
      </c>
      <c r="H91" s="3">
        <v>45549</v>
      </c>
      <c r="I91" s="5">
        <v>480.51</v>
      </c>
    </row>
    <row r="92" spans="1:9" ht="15" thickBot="1" x14ac:dyDescent="0.4">
      <c r="A92" s="4" t="s">
        <v>25</v>
      </c>
      <c r="B92" s="1" t="s">
        <v>66</v>
      </c>
      <c r="C92" s="1" t="s">
        <v>11</v>
      </c>
      <c r="D92" s="1" t="s">
        <v>27</v>
      </c>
      <c r="E92" s="2">
        <v>1101.55</v>
      </c>
      <c r="F92" s="2">
        <v>4</v>
      </c>
      <c r="G92" s="2">
        <v>0.1</v>
      </c>
      <c r="H92" s="3">
        <v>45551</v>
      </c>
      <c r="I92" s="5">
        <v>346.99</v>
      </c>
    </row>
    <row r="93" spans="1:9" ht="15" thickBot="1" x14ac:dyDescent="0.4">
      <c r="A93" s="4" t="s">
        <v>73</v>
      </c>
      <c r="B93" s="1" t="s">
        <v>14</v>
      </c>
      <c r="C93" s="1" t="s">
        <v>20</v>
      </c>
      <c r="D93" s="1" t="s">
        <v>27</v>
      </c>
      <c r="E93" s="2">
        <v>727.73</v>
      </c>
      <c r="F93" s="2">
        <v>1</v>
      </c>
      <c r="G93" s="2">
        <v>0.1</v>
      </c>
      <c r="H93" s="3">
        <v>45552</v>
      </c>
      <c r="I93" s="5">
        <v>229.23</v>
      </c>
    </row>
    <row r="94" spans="1:9" ht="15" thickBot="1" x14ac:dyDescent="0.4">
      <c r="A94" s="4" t="s">
        <v>74</v>
      </c>
      <c r="B94" s="1" t="s">
        <v>38</v>
      </c>
      <c r="C94" s="1" t="s">
        <v>18</v>
      </c>
      <c r="D94" s="1" t="s">
        <v>39</v>
      </c>
      <c r="E94" s="2">
        <v>875.41</v>
      </c>
      <c r="F94" s="2">
        <v>13</v>
      </c>
      <c r="G94" s="2">
        <v>0.15</v>
      </c>
      <c r="H94" s="3">
        <v>45552</v>
      </c>
      <c r="I94" s="5">
        <v>334.84</v>
      </c>
    </row>
    <row r="95" spans="1:9" ht="15" thickBot="1" x14ac:dyDescent="0.4">
      <c r="A95" s="4" t="s">
        <v>67</v>
      </c>
      <c r="B95" s="1" t="s">
        <v>23</v>
      </c>
      <c r="C95" s="1" t="s">
        <v>11</v>
      </c>
      <c r="D95" s="1" t="s">
        <v>21</v>
      </c>
      <c r="E95" s="2">
        <v>1158.94</v>
      </c>
      <c r="F95" s="2">
        <v>19</v>
      </c>
      <c r="G95" s="2">
        <v>0.2</v>
      </c>
      <c r="H95" s="3">
        <v>45553</v>
      </c>
      <c r="I95" s="5">
        <v>231.79</v>
      </c>
    </row>
    <row r="96" spans="1:9" ht="15" thickBot="1" x14ac:dyDescent="0.4">
      <c r="A96" s="4" t="s">
        <v>75</v>
      </c>
      <c r="B96" s="1" t="s">
        <v>47</v>
      </c>
      <c r="C96" s="1" t="s">
        <v>20</v>
      </c>
      <c r="D96" s="1" t="s">
        <v>12</v>
      </c>
      <c r="E96" s="2">
        <v>966.3</v>
      </c>
      <c r="F96" s="2">
        <v>2</v>
      </c>
      <c r="G96" s="2">
        <v>0.15</v>
      </c>
      <c r="H96" s="3">
        <v>45557</v>
      </c>
      <c r="I96" s="5">
        <v>328.54</v>
      </c>
    </row>
    <row r="97" spans="1:9" ht="15" thickBot="1" x14ac:dyDescent="0.4">
      <c r="A97" s="4" t="s">
        <v>68</v>
      </c>
      <c r="B97" s="1" t="s">
        <v>17</v>
      </c>
      <c r="C97" s="1" t="s">
        <v>20</v>
      </c>
      <c r="D97" s="1" t="s">
        <v>12</v>
      </c>
      <c r="E97" s="2">
        <v>917.48</v>
      </c>
      <c r="F97" s="2">
        <v>6</v>
      </c>
      <c r="G97" s="2">
        <v>0</v>
      </c>
      <c r="H97" s="3">
        <v>45558</v>
      </c>
      <c r="I97" s="5">
        <v>366.99</v>
      </c>
    </row>
    <row r="98" spans="1:9" ht="15" thickBot="1" x14ac:dyDescent="0.4">
      <c r="A98" s="4" t="s">
        <v>41</v>
      </c>
      <c r="B98" s="1" t="s">
        <v>61</v>
      </c>
      <c r="C98" s="1" t="s">
        <v>11</v>
      </c>
      <c r="D98" s="1" t="s">
        <v>27</v>
      </c>
      <c r="E98" s="2">
        <v>1172.97</v>
      </c>
      <c r="F98" s="2">
        <v>7</v>
      </c>
      <c r="G98" s="2">
        <v>0.15</v>
      </c>
      <c r="H98" s="3">
        <v>45559</v>
      </c>
      <c r="I98" s="5">
        <v>348.96</v>
      </c>
    </row>
    <row r="99" spans="1:9" ht="15" thickBot="1" x14ac:dyDescent="0.4">
      <c r="A99" s="4" t="s">
        <v>57</v>
      </c>
      <c r="B99" s="1" t="s">
        <v>23</v>
      </c>
      <c r="C99" s="1" t="s">
        <v>24</v>
      </c>
      <c r="D99" s="1" t="s">
        <v>15</v>
      </c>
      <c r="E99" s="2">
        <v>1205.82</v>
      </c>
      <c r="F99" s="2">
        <v>11</v>
      </c>
      <c r="G99" s="2">
        <v>0.1</v>
      </c>
      <c r="H99" s="3">
        <v>45559</v>
      </c>
      <c r="I99" s="5">
        <v>542.62</v>
      </c>
    </row>
    <row r="100" spans="1:9" ht="15" thickBot="1" x14ac:dyDescent="0.4">
      <c r="A100" s="4" t="s">
        <v>16</v>
      </c>
      <c r="B100" s="1" t="s">
        <v>64</v>
      </c>
      <c r="C100" s="1" t="s">
        <v>11</v>
      </c>
      <c r="D100" s="1" t="s">
        <v>39</v>
      </c>
      <c r="E100" s="2">
        <v>826.93</v>
      </c>
      <c r="F100" s="2">
        <v>10</v>
      </c>
      <c r="G100" s="2">
        <v>0.2</v>
      </c>
      <c r="H100" s="3">
        <v>45564</v>
      </c>
      <c r="I100" s="5">
        <v>297.69</v>
      </c>
    </row>
    <row r="101" spans="1:9" ht="15" thickBot="1" x14ac:dyDescent="0.4">
      <c r="A101" s="4" t="s">
        <v>67</v>
      </c>
      <c r="B101" s="1" t="s">
        <v>23</v>
      </c>
      <c r="C101" s="1" t="s">
        <v>34</v>
      </c>
      <c r="D101" s="1" t="s">
        <v>15</v>
      </c>
      <c r="E101" s="2">
        <v>902.19</v>
      </c>
      <c r="F101" s="2">
        <v>12</v>
      </c>
      <c r="G101" s="2">
        <v>0</v>
      </c>
      <c r="H101" s="3">
        <v>45564</v>
      </c>
      <c r="I101" s="5">
        <v>451.1</v>
      </c>
    </row>
    <row r="102" spans="1:9" ht="15" thickBot="1" x14ac:dyDescent="0.4">
      <c r="A102" s="4" t="s">
        <v>74</v>
      </c>
      <c r="B102" s="1" t="s">
        <v>38</v>
      </c>
      <c r="C102" s="1" t="s">
        <v>24</v>
      </c>
      <c r="D102" s="1" t="s">
        <v>12</v>
      </c>
      <c r="E102" s="2">
        <v>585.97</v>
      </c>
      <c r="F102" s="2">
        <v>17</v>
      </c>
      <c r="G102" s="2">
        <v>0.1</v>
      </c>
      <c r="H102" s="3">
        <v>45565</v>
      </c>
      <c r="I102" s="5">
        <v>210.95</v>
      </c>
    </row>
    <row r="103" spans="1:9" ht="15" thickBot="1" x14ac:dyDescent="0.4">
      <c r="A103" s="4" t="s">
        <v>60</v>
      </c>
      <c r="B103" s="1" t="s">
        <v>26</v>
      </c>
      <c r="C103" s="1" t="s">
        <v>24</v>
      </c>
      <c r="D103" s="1" t="s">
        <v>15</v>
      </c>
      <c r="E103" s="2">
        <v>990.19</v>
      </c>
      <c r="F103" s="2">
        <v>8</v>
      </c>
      <c r="G103" s="2">
        <v>0.1</v>
      </c>
      <c r="H103" s="3">
        <v>45565</v>
      </c>
      <c r="I103" s="5">
        <v>445.59</v>
      </c>
    </row>
    <row r="104" spans="1:9" ht="15" thickBot="1" x14ac:dyDescent="0.4">
      <c r="A104" s="4" t="s">
        <v>44</v>
      </c>
      <c r="B104" s="1" t="s">
        <v>56</v>
      </c>
      <c r="C104" s="1" t="s">
        <v>34</v>
      </c>
      <c r="D104" s="1" t="s">
        <v>21</v>
      </c>
      <c r="E104" s="2">
        <v>1014.09</v>
      </c>
      <c r="F104" s="2">
        <v>13</v>
      </c>
      <c r="G104" s="2">
        <v>0.2</v>
      </c>
      <c r="H104" s="3">
        <v>45567</v>
      </c>
      <c r="I104" s="5">
        <v>202.82</v>
      </c>
    </row>
    <row r="105" spans="1:9" ht="15" thickBot="1" x14ac:dyDescent="0.4">
      <c r="A105" s="4" t="s">
        <v>13</v>
      </c>
      <c r="B105" s="1" t="s">
        <v>48</v>
      </c>
      <c r="C105" s="1" t="s">
        <v>24</v>
      </c>
      <c r="D105" s="1" t="s">
        <v>21</v>
      </c>
      <c r="E105" s="2">
        <v>925.29</v>
      </c>
      <c r="F105" s="2">
        <v>17</v>
      </c>
      <c r="G105" s="2">
        <v>0</v>
      </c>
      <c r="H105" s="3">
        <v>45570</v>
      </c>
      <c r="I105" s="5">
        <v>231.32</v>
      </c>
    </row>
    <row r="106" spans="1:9" ht="15" thickBot="1" x14ac:dyDescent="0.4">
      <c r="A106" s="4" t="s">
        <v>54</v>
      </c>
      <c r="B106" s="1" t="s">
        <v>47</v>
      </c>
      <c r="C106" s="1" t="s">
        <v>18</v>
      </c>
      <c r="D106" s="1" t="s">
        <v>27</v>
      </c>
      <c r="E106" s="2">
        <v>1286.54</v>
      </c>
      <c r="F106" s="2">
        <v>8</v>
      </c>
      <c r="G106" s="2">
        <v>0</v>
      </c>
      <c r="H106" s="3">
        <v>45575</v>
      </c>
      <c r="I106" s="5">
        <v>450.29</v>
      </c>
    </row>
    <row r="107" spans="1:9" ht="15" thickBot="1" x14ac:dyDescent="0.4">
      <c r="A107" s="4" t="s">
        <v>37</v>
      </c>
      <c r="B107" s="1" t="s">
        <v>64</v>
      </c>
      <c r="C107" s="1" t="s">
        <v>20</v>
      </c>
      <c r="D107" s="1" t="s">
        <v>12</v>
      </c>
      <c r="E107" s="2">
        <v>961.62</v>
      </c>
      <c r="F107" s="2">
        <v>8</v>
      </c>
      <c r="G107" s="2">
        <v>0.2</v>
      </c>
      <c r="H107" s="3">
        <v>45577</v>
      </c>
      <c r="I107" s="5">
        <v>307.72000000000003</v>
      </c>
    </row>
    <row r="108" spans="1:9" ht="15" thickBot="1" x14ac:dyDescent="0.4">
      <c r="A108" s="4" t="s">
        <v>44</v>
      </c>
      <c r="B108" s="1" t="s">
        <v>23</v>
      </c>
      <c r="C108" s="1" t="s">
        <v>18</v>
      </c>
      <c r="D108" s="1" t="s">
        <v>12</v>
      </c>
      <c r="E108" s="2">
        <v>1081.1400000000001</v>
      </c>
      <c r="F108" s="2">
        <v>19</v>
      </c>
      <c r="G108" s="2">
        <v>0.15</v>
      </c>
      <c r="H108" s="3">
        <v>45577</v>
      </c>
      <c r="I108" s="5">
        <v>367.59</v>
      </c>
    </row>
    <row r="109" spans="1:9" ht="15" thickBot="1" x14ac:dyDescent="0.4">
      <c r="A109" s="4" t="s">
        <v>58</v>
      </c>
      <c r="B109" s="1" t="s">
        <v>23</v>
      </c>
      <c r="C109" s="1" t="s">
        <v>11</v>
      </c>
      <c r="D109" s="1" t="s">
        <v>15</v>
      </c>
      <c r="E109" s="2">
        <v>1923.66</v>
      </c>
      <c r="F109" s="2">
        <v>9</v>
      </c>
      <c r="G109" s="2">
        <v>0.2</v>
      </c>
      <c r="H109" s="3">
        <v>45580</v>
      </c>
      <c r="I109" s="5">
        <v>769.46</v>
      </c>
    </row>
    <row r="110" spans="1:9" ht="15" thickBot="1" x14ac:dyDescent="0.4">
      <c r="A110" s="4" t="s">
        <v>54</v>
      </c>
      <c r="B110" s="1" t="s">
        <v>66</v>
      </c>
      <c r="C110" s="1" t="s">
        <v>34</v>
      </c>
      <c r="D110" s="1" t="s">
        <v>15</v>
      </c>
      <c r="E110" s="2">
        <v>728.71</v>
      </c>
      <c r="F110" s="2">
        <v>14</v>
      </c>
      <c r="G110" s="2">
        <v>0.1</v>
      </c>
      <c r="H110" s="3">
        <v>45581</v>
      </c>
      <c r="I110" s="5">
        <v>327.92</v>
      </c>
    </row>
    <row r="111" spans="1:9" ht="15" thickBot="1" x14ac:dyDescent="0.4">
      <c r="A111" s="4" t="s">
        <v>9</v>
      </c>
      <c r="B111" s="1" t="s">
        <v>33</v>
      </c>
      <c r="C111" s="1" t="s">
        <v>34</v>
      </c>
      <c r="D111" s="1" t="s">
        <v>15</v>
      </c>
      <c r="E111" s="2">
        <v>1301.8900000000001</v>
      </c>
      <c r="F111" s="2">
        <v>7</v>
      </c>
      <c r="G111" s="2">
        <v>0.15</v>
      </c>
      <c r="H111" s="3">
        <v>45581</v>
      </c>
      <c r="I111" s="5">
        <v>553.29999999999995</v>
      </c>
    </row>
    <row r="112" spans="1:9" ht="15" thickBot="1" x14ac:dyDescent="0.4">
      <c r="A112" s="4" t="s">
        <v>70</v>
      </c>
      <c r="B112" s="1" t="s">
        <v>66</v>
      </c>
      <c r="C112" s="1" t="s">
        <v>18</v>
      </c>
      <c r="D112" s="1" t="s">
        <v>12</v>
      </c>
      <c r="E112" s="2">
        <v>980.18</v>
      </c>
      <c r="F112" s="2">
        <v>16</v>
      </c>
      <c r="G112" s="2">
        <v>0.1</v>
      </c>
      <c r="H112" s="3">
        <v>45582</v>
      </c>
      <c r="I112" s="5">
        <v>352.86</v>
      </c>
    </row>
    <row r="113" spans="1:9" ht="15" thickBot="1" x14ac:dyDescent="0.4">
      <c r="A113" s="4" t="s">
        <v>74</v>
      </c>
      <c r="B113" s="1" t="s">
        <v>23</v>
      </c>
      <c r="C113" s="1" t="s">
        <v>11</v>
      </c>
      <c r="D113" s="1" t="s">
        <v>15</v>
      </c>
      <c r="E113" s="2">
        <v>697.57</v>
      </c>
      <c r="F113" s="2">
        <v>17</v>
      </c>
      <c r="G113" s="2">
        <v>0.1</v>
      </c>
      <c r="H113" s="3">
        <v>45584</v>
      </c>
      <c r="I113" s="5">
        <v>313.91000000000003</v>
      </c>
    </row>
    <row r="114" spans="1:9" ht="15" thickBot="1" x14ac:dyDescent="0.4">
      <c r="A114" s="4" t="s">
        <v>46</v>
      </c>
      <c r="B114" s="1" t="s">
        <v>71</v>
      </c>
      <c r="C114" s="1" t="s">
        <v>11</v>
      </c>
      <c r="D114" s="1" t="s">
        <v>27</v>
      </c>
      <c r="E114" s="2">
        <v>1193.6099999999999</v>
      </c>
      <c r="F114" s="2">
        <v>1</v>
      </c>
      <c r="G114" s="2">
        <v>0.15</v>
      </c>
      <c r="H114" s="3">
        <v>45584</v>
      </c>
      <c r="I114" s="5">
        <v>355.1</v>
      </c>
    </row>
    <row r="115" spans="1:9" ht="15" thickBot="1" x14ac:dyDescent="0.4">
      <c r="A115" s="4" t="s">
        <v>32</v>
      </c>
      <c r="B115" s="1" t="s">
        <v>38</v>
      </c>
      <c r="C115" s="1" t="s">
        <v>20</v>
      </c>
      <c r="D115" s="1" t="s">
        <v>21</v>
      </c>
      <c r="E115" s="2">
        <v>771.02</v>
      </c>
      <c r="F115" s="2">
        <v>1</v>
      </c>
      <c r="G115" s="2">
        <v>0</v>
      </c>
      <c r="H115" s="3">
        <v>45585</v>
      </c>
      <c r="I115" s="5">
        <v>192.76</v>
      </c>
    </row>
    <row r="116" spans="1:9" ht="15" thickBot="1" x14ac:dyDescent="0.4">
      <c r="A116" s="4" t="s">
        <v>67</v>
      </c>
      <c r="B116" s="1" t="s">
        <v>69</v>
      </c>
      <c r="C116" s="1" t="s">
        <v>24</v>
      </c>
      <c r="D116" s="1" t="s">
        <v>15</v>
      </c>
      <c r="E116" s="2">
        <v>661.09</v>
      </c>
      <c r="F116" s="2">
        <v>1</v>
      </c>
      <c r="G116" s="2">
        <v>0.2</v>
      </c>
      <c r="H116" s="3">
        <v>45593</v>
      </c>
      <c r="I116" s="5">
        <v>264.44</v>
      </c>
    </row>
    <row r="117" spans="1:9" ht="15" thickBot="1" x14ac:dyDescent="0.4">
      <c r="A117" s="4" t="s">
        <v>13</v>
      </c>
      <c r="B117" s="1" t="s">
        <v>55</v>
      </c>
      <c r="C117" s="1" t="s">
        <v>11</v>
      </c>
      <c r="D117" s="1" t="s">
        <v>21</v>
      </c>
      <c r="E117" s="2">
        <v>688.83</v>
      </c>
      <c r="F117" s="2">
        <v>15</v>
      </c>
      <c r="G117" s="2">
        <v>0</v>
      </c>
      <c r="H117" s="3">
        <v>45595</v>
      </c>
      <c r="I117" s="5">
        <v>172.21</v>
      </c>
    </row>
    <row r="118" spans="1:9" ht="15" thickBot="1" x14ac:dyDescent="0.4">
      <c r="A118" s="4" t="s">
        <v>73</v>
      </c>
      <c r="B118" s="1" t="s">
        <v>29</v>
      </c>
      <c r="C118" s="1" t="s">
        <v>34</v>
      </c>
      <c r="D118" s="1" t="s">
        <v>12</v>
      </c>
      <c r="E118" s="2">
        <v>1249.0999999999999</v>
      </c>
      <c r="F118" s="2">
        <v>4</v>
      </c>
      <c r="G118" s="2">
        <v>0.05</v>
      </c>
      <c r="H118" s="3">
        <v>45597</v>
      </c>
      <c r="I118" s="5">
        <v>474.66</v>
      </c>
    </row>
    <row r="119" spans="1:9" ht="15" thickBot="1" x14ac:dyDescent="0.4">
      <c r="A119" s="4" t="s">
        <v>44</v>
      </c>
      <c r="B119" s="1" t="s">
        <v>23</v>
      </c>
      <c r="C119" s="1" t="s">
        <v>18</v>
      </c>
      <c r="D119" s="1" t="s">
        <v>39</v>
      </c>
      <c r="E119" s="2">
        <v>1014.22</v>
      </c>
      <c r="F119" s="2">
        <v>14</v>
      </c>
      <c r="G119" s="2">
        <v>0.05</v>
      </c>
      <c r="H119" s="3">
        <v>45599</v>
      </c>
      <c r="I119" s="5">
        <v>433.58</v>
      </c>
    </row>
    <row r="120" spans="1:9" ht="15" thickBot="1" x14ac:dyDescent="0.4">
      <c r="A120" s="4" t="s">
        <v>54</v>
      </c>
      <c r="B120" s="1" t="s">
        <v>48</v>
      </c>
      <c r="C120" s="1" t="s">
        <v>18</v>
      </c>
      <c r="D120" s="1" t="s">
        <v>12</v>
      </c>
      <c r="E120" s="2">
        <v>1010.58</v>
      </c>
      <c r="F120" s="2">
        <v>2</v>
      </c>
      <c r="G120" s="2">
        <v>0.15</v>
      </c>
      <c r="H120" s="3">
        <v>45605</v>
      </c>
      <c r="I120" s="5">
        <v>343.6</v>
      </c>
    </row>
    <row r="121" spans="1:9" ht="15" thickBot="1" x14ac:dyDescent="0.4">
      <c r="A121" s="4" t="s">
        <v>30</v>
      </c>
      <c r="B121" s="1" t="s">
        <v>59</v>
      </c>
      <c r="C121" s="1" t="s">
        <v>24</v>
      </c>
      <c r="D121" s="1" t="s">
        <v>27</v>
      </c>
      <c r="E121" s="2">
        <v>957.29</v>
      </c>
      <c r="F121" s="2">
        <v>4</v>
      </c>
      <c r="G121" s="2">
        <v>0.05</v>
      </c>
      <c r="H121" s="3">
        <v>45605</v>
      </c>
      <c r="I121" s="5">
        <v>318.3</v>
      </c>
    </row>
    <row r="122" spans="1:9" ht="15" thickBot="1" x14ac:dyDescent="0.4">
      <c r="A122" s="4" t="s">
        <v>28</v>
      </c>
      <c r="B122" s="1" t="s">
        <v>45</v>
      </c>
      <c r="C122" s="1" t="s">
        <v>24</v>
      </c>
      <c r="D122" s="1" t="s">
        <v>27</v>
      </c>
      <c r="E122" s="2">
        <v>1077.92</v>
      </c>
      <c r="F122" s="2">
        <v>3</v>
      </c>
      <c r="G122" s="2">
        <v>0.05</v>
      </c>
      <c r="H122" s="3">
        <v>45608</v>
      </c>
      <c r="I122" s="5">
        <v>358.41</v>
      </c>
    </row>
    <row r="123" spans="1:9" ht="15" thickBot="1" x14ac:dyDescent="0.4">
      <c r="A123" s="4" t="s">
        <v>52</v>
      </c>
      <c r="B123" s="1" t="s">
        <v>50</v>
      </c>
      <c r="C123" s="1" t="s">
        <v>20</v>
      </c>
      <c r="D123" s="1" t="s">
        <v>15</v>
      </c>
      <c r="E123" s="2">
        <v>1163.01</v>
      </c>
      <c r="F123" s="2">
        <v>5</v>
      </c>
      <c r="G123" s="2">
        <v>0</v>
      </c>
      <c r="H123" s="3">
        <v>45611</v>
      </c>
      <c r="I123" s="5">
        <v>581.5</v>
      </c>
    </row>
    <row r="124" spans="1:9" ht="15" thickBot="1" x14ac:dyDescent="0.4">
      <c r="A124" s="4" t="s">
        <v>54</v>
      </c>
      <c r="B124" s="1" t="s">
        <v>45</v>
      </c>
      <c r="C124" s="1" t="s">
        <v>18</v>
      </c>
      <c r="D124" s="1" t="s">
        <v>39</v>
      </c>
      <c r="E124" s="2">
        <v>1014.56</v>
      </c>
      <c r="F124" s="2">
        <v>10</v>
      </c>
      <c r="G124" s="2">
        <v>0.1</v>
      </c>
      <c r="H124" s="3">
        <v>45612</v>
      </c>
      <c r="I124" s="5">
        <v>410.9</v>
      </c>
    </row>
    <row r="125" spans="1:9" ht="15" thickBot="1" x14ac:dyDescent="0.4">
      <c r="A125" s="4" t="s">
        <v>9</v>
      </c>
      <c r="B125" s="1" t="s">
        <v>17</v>
      </c>
      <c r="C125" s="1" t="s">
        <v>20</v>
      </c>
      <c r="D125" s="1" t="s">
        <v>21</v>
      </c>
      <c r="E125" s="2">
        <v>718.04</v>
      </c>
      <c r="F125" s="2">
        <v>14</v>
      </c>
      <c r="G125" s="2">
        <v>0</v>
      </c>
      <c r="H125" s="3">
        <v>45613</v>
      </c>
      <c r="I125" s="5">
        <v>179.51</v>
      </c>
    </row>
    <row r="126" spans="1:9" ht="15" thickBot="1" x14ac:dyDescent="0.4">
      <c r="A126" s="4" t="s">
        <v>72</v>
      </c>
      <c r="B126" s="1" t="s">
        <v>17</v>
      </c>
      <c r="C126" s="1" t="s">
        <v>34</v>
      </c>
      <c r="D126" s="1" t="s">
        <v>15</v>
      </c>
      <c r="E126" s="2">
        <v>1277.8499999999999</v>
      </c>
      <c r="F126" s="2">
        <v>18</v>
      </c>
      <c r="G126" s="2">
        <v>0.2</v>
      </c>
      <c r="H126" s="3">
        <v>45613</v>
      </c>
      <c r="I126" s="5">
        <v>511.14</v>
      </c>
    </row>
    <row r="127" spans="1:9" ht="15" thickBot="1" x14ac:dyDescent="0.4">
      <c r="A127" s="4" t="s">
        <v>70</v>
      </c>
      <c r="B127" s="1" t="s">
        <v>23</v>
      </c>
      <c r="C127" s="1" t="s">
        <v>24</v>
      </c>
      <c r="D127" s="1" t="s">
        <v>21</v>
      </c>
      <c r="E127" s="2">
        <v>706.73</v>
      </c>
      <c r="F127" s="2">
        <v>1</v>
      </c>
      <c r="G127" s="2">
        <v>0.15</v>
      </c>
      <c r="H127" s="3">
        <v>45613</v>
      </c>
      <c r="I127" s="5">
        <v>150.18</v>
      </c>
    </row>
    <row r="128" spans="1:9" ht="15" thickBot="1" x14ac:dyDescent="0.4">
      <c r="A128" s="4" t="s">
        <v>65</v>
      </c>
      <c r="B128" s="1" t="s">
        <v>50</v>
      </c>
      <c r="C128" s="1" t="s">
        <v>18</v>
      </c>
      <c r="D128" s="1" t="s">
        <v>21</v>
      </c>
      <c r="E128" s="2">
        <v>1410.59</v>
      </c>
      <c r="F128" s="2">
        <v>15</v>
      </c>
      <c r="G128" s="2">
        <v>0</v>
      </c>
      <c r="H128" s="3">
        <v>45615</v>
      </c>
      <c r="I128" s="5">
        <v>352.65</v>
      </c>
    </row>
    <row r="129" spans="1:9" ht="15" thickBot="1" x14ac:dyDescent="0.4">
      <c r="A129" s="4" t="s">
        <v>32</v>
      </c>
      <c r="B129" s="1" t="s">
        <v>61</v>
      </c>
      <c r="C129" s="1" t="s">
        <v>20</v>
      </c>
      <c r="D129" s="1" t="s">
        <v>27</v>
      </c>
      <c r="E129" s="2">
        <v>1350.33</v>
      </c>
      <c r="F129" s="2">
        <v>10</v>
      </c>
      <c r="G129" s="2">
        <v>0</v>
      </c>
      <c r="H129" s="3">
        <v>45615</v>
      </c>
      <c r="I129" s="5">
        <v>472.62</v>
      </c>
    </row>
    <row r="130" spans="1:9" ht="15" thickBot="1" x14ac:dyDescent="0.4">
      <c r="A130" s="4" t="s">
        <v>41</v>
      </c>
      <c r="B130" s="1" t="s">
        <v>45</v>
      </c>
      <c r="C130" s="1" t="s">
        <v>18</v>
      </c>
      <c r="D130" s="1" t="s">
        <v>21</v>
      </c>
      <c r="E130" s="2">
        <v>919.18</v>
      </c>
      <c r="F130" s="2">
        <v>4</v>
      </c>
      <c r="G130" s="2">
        <v>0.15</v>
      </c>
      <c r="H130" s="3">
        <v>45615</v>
      </c>
      <c r="I130" s="5">
        <v>195.33</v>
      </c>
    </row>
    <row r="131" spans="1:9" ht="15" thickBot="1" x14ac:dyDescent="0.4">
      <c r="A131" s="4" t="s">
        <v>74</v>
      </c>
      <c r="B131" s="1" t="s">
        <v>23</v>
      </c>
      <c r="C131" s="1" t="s">
        <v>11</v>
      </c>
      <c r="D131" s="1" t="s">
        <v>21</v>
      </c>
      <c r="E131" s="2">
        <v>258.51</v>
      </c>
      <c r="F131" s="2">
        <v>19</v>
      </c>
      <c r="G131" s="2">
        <v>0</v>
      </c>
      <c r="H131" s="3">
        <v>45616</v>
      </c>
      <c r="I131" s="5">
        <v>64.63</v>
      </c>
    </row>
    <row r="132" spans="1:9" ht="15" thickBot="1" x14ac:dyDescent="0.4">
      <c r="A132" s="4" t="s">
        <v>63</v>
      </c>
      <c r="B132" s="1" t="s">
        <v>61</v>
      </c>
      <c r="C132" s="1" t="s">
        <v>18</v>
      </c>
      <c r="D132" s="1" t="s">
        <v>12</v>
      </c>
      <c r="E132" s="2">
        <v>1213.48</v>
      </c>
      <c r="F132" s="2">
        <v>5</v>
      </c>
      <c r="G132" s="2">
        <v>0.05</v>
      </c>
      <c r="H132" s="3">
        <v>45616</v>
      </c>
      <c r="I132" s="5">
        <v>461.12</v>
      </c>
    </row>
    <row r="133" spans="1:9" ht="15" thickBot="1" x14ac:dyDescent="0.4">
      <c r="A133" s="4" t="s">
        <v>57</v>
      </c>
      <c r="B133" s="1" t="s">
        <v>38</v>
      </c>
      <c r="C133" s="1" t="s">
        <v>34</v>
      </c>
      <c r="D133" s="1" t="s">
        <v>12</v>
      </c>
      <c r="E133" s="2">
        <v>1150.28</v>
      </c>
      <c r="F133" s="2">
        <v>8</v>
      </c>
      <c r="G133" s="2">
        <v>0.05</v>
      </c>
      <c r="H133" s="3">
        <v>45622</v>
      </c>
      <c r="I133" s="5">
        <v>437.11</v>
      </c>
    </row>
    <row r="134" spans="1:9" ht="15" thickBot="1" x14ac:dyDescent="0.4">
      <c r="A134" s="4" t="s">
        <v>37</v>
      </c>
      <c r="B134" s="1" t="s">
        <v>71</v>
      </c>
      <c r="C134" s="1" t="s">
        <v>20</v>
      </c>
      <c r="D134" s="1" t="s">
        <v>27</v>
      </c>
      <c r="E134" s="2">
        <v>853.86</v>
      </c>
      <c r="F134" s="2">
        <v>8</v>
      </c>
      <c r="G134" s="2">
        <v>0.1</v>
      </c>
      <c r="H134" s="3">
        <v>45622</v>
      </c>
      <c r="I134" s="5">
        <v>268.97000000000003</v>
      </c>
    </row>
    <row r="135" spans="1:9" ht="15" thickBot="1" x14ac:dyDescent="0.4">
      <c r="A135" s="4" t="s">
        <v>75</v>
      </c>
      <c r="B135" s="1" t="s">
        <v>45</v>
      </c>
      <c r="C135" s="1" t="s">
        <v>20</v>
      </c>
      <c r="D135" s="1" t="s">
        <v>21</v>
      </c>
      <c r="E135" s="2">
        <v>1061.04</v>
      </c>
      <c r="F135" s="2">
        <v>1</v>
      </c>
      <c r="G135" s="2">
        <v>0</v>
      </c>
      <c r="H135" s="3">
        <v>45624</v>
      </c>
      <c r="I135" s="5">
        <v>265.26</v>
      </c>
    </row>
    <row r="136" spans="1:9" ht="15" thickBot="1" x14ac:dyDescent="0.4">
      <c r="A136" s="4" t="s">
        <v>28</v>
      </c>
      <c r="B136" s="1" t="s">
        <v>43</v>
      </c>
      <c r="C136" s="1" t="s">
        <v>11</v>
      </c>
      <c r="D136" s="1" t="s">
        <v>21</v>
      </c>
      <c r="E136" s="2">
        <v>894.55</v>
      </c>
      <c r="F136" s="2">
        <v>19</v>
      </c>
      <c r="G136" s="2">
        <v>0.2</v>
      </c>
      <c r="H136" s="3">
        <v>45625</v>
      </c>
      <c r="I136" s="5">
        <v>178.91</v>
      </c>
    </row>
    <row r="137" spans="1:9" ht="15" thickBot="1" x14ac:dyDescent="0.4">
      <c r="A137" s="4" t="s">
        <v>25</v>
      </c>
      <c r="B137" s="1" t="s">
        <v>38</v>
      </c>
      <c r="C137" s="1" t="s">
        <v>24</v>
      </c>
      <c r="D137" s="1" t="s">
        <v>39</v>
      </c>
      <c r="E137" s="2">
        <v>833.91</v>
      </c>
      <c r="F137" s="2">
        <v>3</v>
      </c>
      <c r="G137" s="2">
        <v>0.05</v>
      </c>
      <c r="H137" s="3">
        <v>45626</v>
      </c>
      <c r="I137" s="5">
        <v>356.5</v>
      </c>
    </row>
    <row r="138" spans="1:9" ht="15" thickBot="1" x14ac:dyDescent="0.4">
      <c r="A138" s="4" t="s">
        <v>58</v>
      </c>
      <c r="B138" s="1" t="s">
        <v>71</v>
      </c>
      <c r="C138" s="1" t="s">
        <v>11</v>
      </c>
      <c r="D138" s="1" t="s">
        <v>27</v>
      </c>
      <c r="E138" s="2">
        <v>820.19</v>
      </c>
      <c r="F138" s="2">
        <v>4</v>
      </c>
      <c r="G138" s="2">
        <v>0.2</v>
      </c>
      <c r="H138" s="3">
        <v>45630</v>
      </c>
      <c r="I138" s="5">
        <v>229.65</v>
      </c>
    </row>
    <row r="139" spans="1:9" ht="15" thickBot="1" x14ac:dyDescent="0.4">
      <c r="A139" s="4" t="s">
        <v>58</v>
      </c>
      <c r="B139" s="1" t="s">
        <v>38</v>
      </c>
      <c r="C139" s="1" t="s">
        <v>34</v>
      </c>
      <c r="D139" s="1" t="s">
        <v>21</v>
      </c>
      <c r="E139" s="2">
        <v>511.74</v>
      </c>
      <c r="F139" s="2">
        <v>8</v>
      </c>
      <c r="G139" s="2">
        <v>0.05</v>
      </c>
      <c r="H139" s="3">
        <v>45631</v>
      </c>
      <c r="I139" s="5">
        <v>121.54</v>
      </c>
    </row>
    <row r="140" spans="1:9" ht="15" thickBot="1" x14ac:dyDescent="0.4">
      <c r="A140" s="4" t="s">
        <v>65</v>
      </c>
      <c r="B140" s="1" t="s">
        <v>61</v>
      </c>
      <c r="C140" s="1" t="s">
        <v>20</v>
      </c>
      <c r="D140" s="1" t="s">
        <v>27</v>
      </c>
      <c r="E140" s="2">
        <v>806.03</v>
      </c>
      <c r="F140" s="2">
        <v>19</v>
      </c>
      <c r="G140" s="2">
        <v>0.05</v>
      </c>
      <c r="H140" s="3">
        <v>45638</v>
      </c>
      <c r="I140" s="5">
        <v>268</v>
      </c>
    </row>
    <row r="141" spans="1:9" ht="15" thickBot="1" x14ac:dyDescent="0.4">
      <c r="A141" s="4" t="s">
        <v>28</v>
      </c>
      <c r="B141" s="1" t="s">
        <v>26</v>
      </c>
      <c r="C141" s="1" t="s">
        <v>34</v>
      </c>
      <c r="D141" s="1" t="s">
        <v>27</v>
      </c>
      <c r="E141" s="2">
        <v>1432.47</v>
      </c>
      <c r="F141" s="2">
        <v>16</v>
      </c>
      <c r="G141" s="2">
        <v>0.15</v>
      </c>
      <c r="H141" s="3">
        <v>45640</v>
      </c>
      <c r="I141" s="5">
        <v>426.16</v>
      </c>
    </row>
    <row r="142" spans="1:9" ht="15" thickBot="1" x14ac:dyDescent="0.4">
      <c r="A142" s="4" t="s">
        <v>74</v>
      </c>
      <c r="B142" s="1" t="s">
        <v>29</v>
      </c>
      <c r="C142" s="1" t="s">
        <v>34</v>
      </c>
      <c r="D142" s="1" t="s">
        <v>21</v>
      </c>
      <c r="E142" s="2">
        <v>1488.58</v>
      </c>
      <c r="F142" s="2">
        <v>10</v>
      </c>
      <c r="G142" s="2">
        <v>0.15</v>
      </c>
      <c r="H142" s="3">
        <v>45640</v>
      </c>
      <c r="I142" s="5">
        <v>316.32</v>
      </c>
    </row>
    <row r="143" spans="1:9" ht="15" thickBot="1" x14ac:dyDescent="0.4">
      <c r="A143" s="4" t="s">
        <v>30</v>
      </c>
      <c r="B143" s="1" t="s">
        <v>66</v>
      </c>
      <c r="C143" s="1" t="s">
        <v>18</v>
      </c>
      <c r="D143" s="1" t="s">
        <v>12</v>
      </c>
      <c r="E143" s="2">
        <v>1231.26</v>
      </c>
      <c r="F143" s="2">
        <v>9</v>
      </c>
      <c r="G143" s="2">
        <v>0</v>
      </c>
      <c r="H143" s="3">
        <v>45646</v>
      </c>
      <c r="I143" s="5">
        <v>492.5</v>
      </c>
    </row>
    <row r="144" spans="1:9" ht="15" thickBot="1" x14ac:dyDescent="0.4">
      <c r="A144" s="4" t="s">
        <v>30</v>
      </c>
      <c r="B144" s="1" t="s">
        <v>43</v>
      </c>
      <c r="C144" s="1" t="s">
        <v>11</v>
      </c>
      <c r="D144" s="1" t="s">
        <v>21</v>
      </c>
      <c r="E144" s="2">
        <v>1161.67</v>
      </c>
      <c r="F144" s="2">
        <v>19</v>
      </c>
      <c r="G144" s="2">
        <v>0.2</v>
      </c>
      <c r="H144" s="3">
        <v>45647</v>
      </c>
      <c r="I144" s="5">
        <v>232.33</v>
      </c>
    </row>
    <row r="145" spans="1:9" ht="15" thickBot="1" x14ac:dyDescent="0.4">
      <c r="A145" s="4" t="s">
        <v>49</v>
      </c>
      <c r="B145" s="1" t="s">
        <v>45</v>
      </c>
      <c r="C145" s="1" t="s">
        <v>34</v>
      </c>
      <c r="D145" s="1" t="s">
        <v>39</v>
      </c>
      <c r="E145" s="2">
        <v>388.23</v>
      </c>
      <c r="F145" s="2">
        <v>16</v>
      </c>
      <c r="G145" s="2">
        <v>0.05</v>
      </c>
      <c r="H145" s="3">
        <v>45650</v>
      </c>
      <c r="I145" s="5">
        <v>165.97</v>
      </c>
    </row>
    <row r="146" spans="1:9" ht="15" thickBot="1" x14ac:dyDescent="0.4">
      <c r="A146" s="4" t="s">
        <v>72</v>
      </c>
      <c r="B146" s="1" t="s">
        <v>31</v>
      </c>
      <c r="C146" s="1" t="s">
        <v>24</v>
      </c>
      <c r="D146" s="1" t="s">
        <v>15</v>
      </c>
      <c r="E146" s="2">
        <v>1589.42</v>
      </c>
      <c r="F146" s="2">
        <v>6</v>
      </c>
      <c r="G146" s="2">
        <v>0.15</v>
      </c>
      <c r="H146" s="3">
        <v>45651</v>
      </c>
      <c r="I146" s="5">
        <v>675.5</v>
      </c>
    </row>
    <row r="147" spans="1:9" ht="15" thickBot="1" x14ac:dyDescent="0.4">
      <c r="A147" s="4" t="s">
        <v>28</v>
      </c>
      <c r="B147" s="1" t="s">
        <v>71</v>
      </c>
      <c r="C147" s="1" t="s">
        <v>24</v>
      </c>
      <c r="D147" s="1" t="s">
        <v>15</v>
      </c>
      <c r="E147" s="2">
        <v>336.66</v>
      </c>
      <c r="F147" s="2">
        <v>13</v>
      </c>
      <c r="G147" s="2">
        <v>0.2</v>
      </c>
      <c r="H147" s="3">
        <v>45651</v>
      </c>
      <c r="I147" s="5">
        <v>134.66</v>
      </c>
    </row>
    <row r="148" spans="1:9" ht="15" thickBot="1" x14ac:dyDescent="0.4">
      <c r="A148" s="4" t="s">
        <v>49</v>
      </c>
      <c r="B148" s="1" t="s">
        <v>23</v>
      </c>
      <c r="C148" s="1" t="s">
        <v>11</v>
      </c>
      <c r="D148" s="1" t="s">
        <v>12</v>
      </c>
      <c r="E148" s="2">
        <v>1353.79</v>
      </c>
      <c r="F148" s="2">
        <v>14</v>
      </c>
      <c r="G148" s="2">
        <v>0.1</v>
      </c>
      <c r="H148" s="3">
        <v>45656</v>
      </c>
      <c r="I148" s="5">
        <v>487.36</v>
      </c>
    </row>
    <row r="149" spans="1:9" ht="15" thickBot="1" x14ac:dyDescent="0.4">
      <c r="A149" s="4" t="s">
        <v>63</v>
      </c>
      <c r="B149" s="1" t="s">
        <v>69</v>
      </c>
      <c r="C149" s="1" t="s">
        <v>34</v>
      </c>
      <c r="D149" s="1" t="s">
        <v>15</v>
      </c>
      <c r="E149" s="2">
        <v>662.61</v>
      </c>
      <c r="F149" s="2">
        <v>11</v>
      </c>
      <c r="G149" s="2">
        <v>0.05</v>
      </c>
      <c r="H149" s="3">
        <v>45658</v>
      </c>
      <c r="I149" s="5">
        <v>314.74</v>
      </c>
    </row>
    <row r="150" spans="1:9" ht="15" thickBot="1" x14ac:dyDescent="0.4">
      <c r="A150" s="4" t="s">
        <v>52</v>
      </c>
      <c r="B150" s="1" t="s">
        <v>48</v>
      </c>
      <c r="C150" s="1" t="s">
        <v>24</v>
      </c>
      <c r="D150" s="1" t="s">
        <v>39</v>
      </c>
      <c r="E150" s="2">
        <v>309.42</v>
      </c>
      <c r="F150" s="2">
        <v>1</v>
      </c>
      <c r="G150" s="2">
        <v>0.2</v>
      </c>
      <c r="H150" s="3">
        <v>45658</v>
      </c>
      <c r="I150" s="5">
        <v>111.39</v>
      </c>
    </row>
    <row r="151" spans="1:9" ht="15" thickBot="1" x14ac:dyDescent="0.4">
      <c r="A151" s="4" t="s">
        <v>63</v>
      </c>
      <c r="B151" s="1" t="s">
        <v>29</v>
      </c>
      <c r="C151" s="1" t="s">
        <v>24</v>
      </c>
      <c r="D151" s="1" t="s">
        <v>12</v>
      </c>
      <c r="E151" s="2">
        <v>884.63</v>
      </c>
      <c r="F151" s="2">
        <v>18</v>
      </c>
      <c r="G151" s="2">
        <v>0.1</v>
      </c>
      <c r="H151" s="3">
        <v>45659</v>
      </c>
      <c r="I151" s="5">
        <v>318.47000000000003</v>
      </c>
    </row>
    <row r="152" spans="1:9" ht="15" thickBot="1" x14ac:dyDescent="0.4">
      <c r="A152" s="4" t="s">
        <v>52</v>
      </c>
      <c r="B152" s="1" t="s">
        <v>23</v>
      </c>
      <c r="C152" s="1" t="s">
        <v>34</v>
      </c>
      <c r="D152" s="1" t="s">
        <v>39</v>
      </c>
      <c r="E152" s="2">
        <v>745.05</v>
      </c>
      <c r="F152" s="2">
        <v>10</v>
      </c>
      <c r="G152" s="2">
        <v>0.1</v>
      </c>
      <c r="H152" s="3">
        <v>45660</v>
      </c>
      <c r="I152" s="5">
        <v>301.75</v>
      </c>
    </row>
    <row r="153" spans="1:9" ht="15" thickBot="1" x14ac:dyDescent="0.4">
      <c r="A153" s="4" t="s">
        <v>60</v>
      </c>
      <c r="B153" s="1" t="s">
        <v>17</v>
      </c>
      <c r="C153" s="1" t="s">
        <v>20</v>
      </c>
      <c r="D153" s="1" t="s">
        <v>15</v>
      </c>
      <c r="E153" s="2">
        <v>870.23</v>
      </c>
      <c r="F153" s="2">
        <v>5</v>
      </c>
      <c r="G153" s="2">
        <v>0.05</v>
      </c>
      <c r="H153" s="3">
        <v>45660</v>
      </c>
      <c r="I153" s="5">
        <v>413.36</v>
      </c>
    </row>
    <row r="154" spans="1:9" ht="15" thickBot="1" x14ac:dyDescent="0.4">
      <c r="A154" s="4" t="s">
        <v>35</v>
      </c>
      <c r="B154" s="1" t="s">
        <v>29</v>
      </c>
      <c r="C154" s="1" t="s">
        <v>11</v>
      </c>
      <c r="D154" s="1" t="s">
        <v>27</v>
      </c>
      <c r="E154" s="2">
        <v>862.19</v>
      </c>
      <c r="F154" s="2">
        <v>18</v>
      </c>
      <c r="G154" s="2">
        <v>0.05</v>
      </c>
      <c r="H154" s="3">
        <v>45663</v>
      </c>
      <c r="I154" s="5">
        <v>286.68</v>
      </c>
    </row>
    <row r="155" spans="1:9" ht="15" thickBot="1" x14ac:dyDescent="0.4">
      <c r="A155" s="4" t="s">
        <v>73</v>
      </c>
      <c r="B155" s="1" t="s">
        <v>59</v>
      </c>
      <c r="C155" s="1" t="s">
        <v>24</v>
      </c>
      <c r="D155" s="1" t="s">
        <v>15</v>
      </c>
      <c r="E155" s="2">
        <v>1171.18</v>
      </c>
      <c r="F155" s="2">
        <v>19</v>
      </c>
      <c r="G155" s="2">
        <v>0.05</v>
      </c>
      <c r="H155" s="3">
        <v>45667</v>
      </c>
      <c r="I155" s="5">
        <v>556.30999999999995</v>
      </c>
    </row>
    <row r="156" spans="1:9" ht="15" thickBot="1" x14ac:dyDescent="0.4">
      <c r="A156" s="4" t="s">
        <v>58</v>
      </c>
      <c r="B156" s="1" t="s">
        <v>14</v>
      </c>
      <c r="C156" s="1" t="s">
        <v>20</v>
      </c>
      <c r="D156" s="1" t="s">
        <v>27</v>
      </c>
      <c r="E156" s="2">
        <v>1054.56</v>
      </c>
      <c r="F156" s="2">
        <v>11</v>
      </c>
      <c r="G156" s="2">
        <v>0.1</v>
      </c>
      <c r="H156" s="3">
        <v>45669</v>
      </c>
      <c r="I156" s="5">
        <v>332.19</v>
      </c>
    </row>
    <row r="157" spans="1:9" ht="15" thickBot="1" x14ac:dyDescent="0.4">
      <c r="A157" s="4" t="s">
        <v>58</v>
      </c>
      <c r="B157" s="1" t="s">
        <v>23</v>
      </c>
      <c r="C157" s="1" t="s">
        <v>24</v>
      </c>
      <c r="D157" s="1" t="s">
        <v>21</v>
      </c>
      <c r="E157" s="2">
        <v>1681.21</v>
      </c>
      <c r="F157" s="2">
        <v>5</v>
      </c>
      <c r="G157" s="2">
        <v>0.2</v>
      </c>
      <c r="H157" s="3">
        <v>45670</v>
      </c>
      <c r="I157" s="5">
        <v>336.24</v>
      </c>
    </row>
    <row r="158" spans="1:9" ht="15" thickBot="1" x14ac:dyDescent="0.4">
      <c r="A158" s="4" t="s">
        <v>58</v>
      </c>
      <c r="B158" s="1" t="s">
        <v>36</v>
      </c>
      <c r="C158" s="1" t="s">
        <v>11</v>
      </c>
      <c r="D158" s="1" t="s">
        <v>15</v>
      </c>
      <c r="E158" s="2">
        <v>379.77</v>
      </c>
      <c r="F158" s="2">
        <v>9</v>
      </c>
      <c r="G158" s="2">
        <v>0.05</v>
      </c>
      <c r="H158" s="3">
        <v>45673</v>
      </c>
      <c r="I158" s="5">
        <v>180.39</v>
      </c>
    </row>
    <row r="159" spans="1:9" ht="15" thickBot="1" x14ac:dyDescent="0.4">
      <c r="A159" s="4" t="s">
        <v>44</v>
      </c>
      <c r="B159" s="1" t="s">
        <v>45</v>
      </c>
      <c r="C159" s="1" t="s">
        <v>34</v>
      </c>
      <c r="D159" s="1" t="s">
        <v>15</v>
      </c>
      <c r="E159" s="2">
        <v>1076.33</v>
      </c>
      <c r="F159" s="2">
        <v>2</v>
      </c>
      <c r="G159" s="2">
        <v>0.1</v>
      </c>
      <c r="H159" s="3">
        <v>45674</v>
      </c>
      <c r="I159" s="5">
        <v>484.35</v>
      </c>
    </row>
    <row r="160" spans="1:9" ht="15" thickBot="1" x14ac:dyDescent="0.4">
      <c r="A160" s="4" t="s">
        <v>44</v>
      </c>
      <c r="B160" s="1" t="s">
        <v>31</v>
      </c>
      <c r="C160" s="1" t="s">
        <v>34</v>
      </c>
      <c r="D160" s="1" t="s">
        <v>39</v>
      </c>
      <c r="E160" s="2">
        <v>1250.71</v>
      </c>
      <c r="F160" s="2">
        <v>7</v>
      </c>
      <c r="G160" s="2">
        <v>0</v>
      </c>
      <c r="H160" s="3">
        <v>45674</v>
      </c>
      <c r="I160" s="5">
        <v>562.82000000000005</v>
      </c>
    </row>
    <row r="161" spans="1:9" ht="15" thickBot="1" x14ac:dyDescent="0.4">
      <c r="A161" s="4" t="s">
        <v>40</v>
      </c>
      <c r="B161" s="1" t="s">
        <v>17</v>
      </c>
      <c r="C161" s="1" t="s">
        <v>20</v>
      </c>
      <c r="D161" s="1" t="s">
        <v>15</v>
      </c>
      <c r="E161" s="2">
        <v>1118.3399999999999</v>
      </c>
      <c r="F161" s="2">
        <v>6</v>
      </c>
      <c r="G161" s="2">
        <v>0.2</v>
      </c>
      <c r="H161" s="3">
        <v>45674</v>
      </c>
      <c r="I161" s="5">
        <v>447.34</v>
      </c>
    </row>
    <row r="162" spans="1:9" ht="15" thickBot="1" x14ac:dyDescent="0.4">
      <c r="A162" s="4" t="s">
        <v>70</v>
      </c>
      <c r="B162" s="1" t="s">
        <v>53</v>
      </c>
      <c r="C162" s="1" t="s">
        <v>24</v>
      </c>
      <c r="D162" s="1" t="s">
        <v>15</v>
      </c>
      <c r="E162" s="2">
        <v>1622.62</v>
      </c>
      <c r="F162" s="2">
        <v>12</v>
      </c>
      <c r="G162" s="2">
        <v>0.2</v>
      </c>
      <c r="H162" s="3">
        <v>45677</v>
      </c>
      <c r="I162" s="5">
        <v>649.04999999999995</v>
      </c>
    </row>
    <row r="163" spans="1:9" ht="15" thickBot="1" x14ac:dyDescent="0.4">
      <c r="A163" s="4" t="s">
        <v>75</v>
      </c>
      <c r="B163" s="1" t="s">
        <v>48</v>
      </c>
      <c r="C163" s="1" t="s">
        <v>24</v>
      </c>
      <c r="D163" s="1" t="s">
        <v>12</v>
      </c>
      <c r="E163" s="2">
        <v>640.64</v>
      </c>
      <c r="F163" s="2">
        <v>11</v>
      </c>
      <c r="G163" s="2">
        <v>0.2</v>
      </c>
      <c r="H163" s="3">
        <v>45678</v>
      </c>
      <c r="I163" s="5">
        <v>205</v>
      </c>
    </row>
    <row r="164" spans="1:9" ht="15" thickBot="1" x14ac:dyDescent="0.4">
      <c r="A164" s="4" t="s">
        <v>22</v>
      </c>
      <c r="B164" s="1" t="s">
        <v>43</v>
      </c>
      <c r="C164" s="1" t="s">
        <v>11</v>
      </c>
      <c r="D164" s="1" t="s">
        <v>15</v>
      </c>
      <c r="E164" s="2">
        <v>585.16</v>
      </c>
      <c r="F164" s="2">
        <v>17</v>
      </c>
      <c r="G164" s="2">
        <v>0.1</v>
      </c>
      <c r="H164" s="3">
        <v>45684</v>
      </c>
      <c r="I164" s="5">
        <v>263.32</v>
      </c>
    </row>
    <row r="165" spans="1:9" ht="15" thickBot="1" x14ac:dyDescent="0.4">
      <c r="A165" s="4" t="s">
        <v>22</v>
      </c>
      <c r="B165" s="1" t="s">
        <v>31</v>
      </c>
      <c r="C165" s="1" t="s">
        <v>18</v>
      </c>
      <c r="D165" s="1" t="s">
        <v>15</v>
      </c>
      <c r="E165" s="2">
        <v>1109.98</v>
      </c>
      <c r="F165" s="2">
        <v>5</v>
      </c>
      <c r="G165" s="2">
        <v>0.2</v>
      </c>
      <c r="H165" s="3">
        <v>45690</v>
      </c>
      <c r="I165" s="5">
        <v>443.99</v>
      </c>
    </row>
    <row r="166" spans="1:9" ht="15" thickBot="1" x14ac:dyDescent="0.4">
      <c r="A166" s="4" t="s">
        <v>58</v>
      </c>
      <c r="B166" s="1" t="s">
        <v>45</v>
      </c>
      <c r="C166" s="1" t="s">
        <v>18</v>
      </c>
      <c r="D166" s="1" t="s">
        <v>12</v>
      </c>
      <c r="E166" s="2">
        <v>1098.08</v>
      </c>
      <c r="F166" s="2">
        <v>9</v>
      </c>
      <c r="G166" s="2">
        <v>0.1</v>
      </c>
      <c r="H166" s="3">
        <v>45692</v>
      </c>
      <c r="I166" s="5">
        <v>395.31</v>
      </c>
    </row>
    <row r="167" spans="1:9" ht="15" thickBot="1" x14ac:dyDescent="0.4">
      <c r="A167" s="4" t="s">
        <v>65</v>
      </c>
      <c r="B167" s="1" t="s">
        <v>48</v>
      </c>
      <c r="C167" s="1" t="s">
        <v>11</v>
      </c>
      <c r="D167" s="1" t="s">
        <v>39</v>
      </c>
      <c r="E167" s="2">
        <v>827.25</v>
      </c>
      <c r="F167" s="2">
        <v>7</v>
      </c>
      <c r="G167" s="2">
        <v>0.1</v>
      </c>
      <c r="H167" s="3">
        <v>45693</v>
      </c>
      <c r="I167" s="5">
        <v>335.04</v>
      </c>
    </row>
    <row r="168" spans="1:9" ht="15" thickBot="1" x14ac:dyDescent="0.4">
      <c r="A168" s="4" t="s">
        <v>70</v>
      </c>
      <c r="B168" s="1" t="s">
        <v>29</v>
      </c>
      <c r="C168" s="1" t="s">
        <v>34</v>
      </c>
      <c r="D168" s="1" t="s">
        <v>15</v>
      </c>
      <c r="E168" s="2">
        <v>741.88</v>
      </c>
      <c r="F168" s="2">
        <v>16</v>
      </c>
      <c r="G168" s="2">
        <v>0.1</v>
      </c>
      <c r="H168" s="3">
        <v>45695</v>
      </c>
      <c r="I168" s="5">
        <v>333.85</v>
      </c>
    </row>
    <row r="169" spans="1:9" ht="15" thickBot="1" x14ac:dyDescent="0.4">
      <c r="A169" s="4" t="s">
        <v>72</v>
      </c>
      <c r="B169" s="1" t="s">
        <v>10</v>
      </c>
      <c r="C169" s="1" t="s">
        <v>18</v>
      </c>
      <c r="D169" s="1" t="s">
        <v>39</v>
      </c>
      <c r="E169" s="2">
        <v>1311.26</v>
      </c>
      <c r="F169" s="2">
        <v>6</v>
      </c>
      <c r="G169" s="2">
        <v>0.1</v>
      </c>
      <c r="H169" s="3">
        <v>45698</v>
      </c>
      <c r="I169" s="5">
        <v>531.05999999999995</v>
      </c>
    </row>
    <row r="170" spans="1:9" ht="15" thickBot="1" x14ac:dyDescent="0.4">
      <c r="A170" s="4" t="s">
        <v>72</v>
      </c>
      <c r="B170" s="1" t="s">
        <v>31</v>
      </c>
      <c r="C170" s="1" t="s">
        <v>20</v>
      </c>
      <c r="D170" s="1" t="s">
        <v>39</v>
      </c>
      <c r="E170" s="2">
        <v>573.32000000000005</v>
      </c>
      <c r="F170" s="2">
        <v>19</v>
      </c>
      <c r="G170" s="2">
        <v>0.1</v>
      </c>
      <c r="H170" s="3">
        <v>45703</v>
      </c>
      <c r="I170" s="5">
        <v>232.19</v>
      </c>
    </row>
    <row r="171" spans="1:9" ht="15" thickBot="1" x14ac:dyDescent="0.4">
      <c r="A171" s="4" t="s">
        <v>52</v>
      </c>
      <c r="B171" s="1" t="s">
        <v>23</v>
      </c>
      <c r="C171" s="1" t="s">
        <v>11</v>
      </c>
      <c r="D171" s="1" t="s">
        <v>21</v>
      </c>
      <c r="E171" s="2">
        <v>1115.22</v>
      </c>
      <c r="F171" s="2">
        <v>14</v>
      </c>
      <c r="G171" s="2">
        <v>0.2</v>
      </c>
      <c r="H171" s="3">
        <v>45705</v>
      </c>
      <c r="I171" s="5">
        <v>223.04</v>
      </c>
    </row>
    <row r="172" spans="1:9" ht="15" thickBot="1" x14ac:dyDescent="0.4">
      <c r="A172" s="4" t="s">
        <v>13</v>
      </c>
      <c r="B172" s="1" t="s">
        <v>45</v>
      </c>
      <c r="C172" s="1" t="s">
        <v>24</v>
      </c>
      <c r="D172" s="1" t="s">
        <v>15</v>
      </c>
      <c r="E172" s="2">
        <v>845.84</v>
      </c>
      <c r="F172" s="2">
        <v>4</v>
      </c>
      <c r="G172" s="2">
        <v>0</v>
      </c>
      <c r="H172" s="3">
        <v>45707</v>
      </c>
      <c r="I172" s="5">
        <v>422.92</v>
      </c>
    </row>
    <row r="173" spans="1:9" ht="15" thickBot="1" x14ac:dyDescent="0.4">
      <c r="A173" s="4" t="s">
        <v>30</v>
      </c>
      <c r="B173" s="1" t="s">
        <v>55</v>
      </c>
      <c r="C173" s="1" t="s">
        <v>11</v>
      </c>
      <c r="D173" s="1" t="s">
        <v>21</v>
      </c>
      <c r="E173" s="2">
        <v>1029.8</v>
      </c>
      <c r="F173" s="2">
        <v>3</v>
      </c>
      <c r="G173" s="2">
        <v>0</v>
      </c>
      <c r="H173" s="3">
        <v>45708</v>
      </c>
      <c r="I173" s="5">
        <v>257.45</v>
      </c>
    </row>
    <row r="174" spans="1:9" ht="15" thickBot="1" x14ac:dyDescent="0.4">
      <c r="A174" s="4" t="s">
        <v>32</v>
      </c>
      <c r="B174" s="1" t="s">
        <v>31</v>
      </c>
      <c r="C174" s="1" t="s">
        <v>24</v>
      </c>
      <c r="D174" s="1" t="s">
        <v>12</v>
      </c>
      <c r="E174" s="2">
        <v>1189.83</v>
      </c>
      <c r="F174" s="2">
        <v>2</v>
      </c>
      <c r="G174" s="2">
        <v>0.2</v>
      </c>
      <c r="H174" s="3">
        <v>45709</v>
      </c>
      <c r="I174" s="5">
        <v>380.75</v>
      </c>
    </row>
    <row r="175" spans="1:9" ht="15" thickBot="1" x14ac:dyDescent="0.4">
      <c r="A175" s="4" t="s">
        <v>67</v>
      </c>
      <c r="B175" s="1" t="s">
        <v>43</v>
      </c>
      <c r="C175" s="1" t="s">
        <v>20</v>
      </c>
      <c r="D175" s="1" t="s">
        <v>12</v>
      </c>
      <c r="E175" s="2">
        <v>704.28</v>
      </c>
      <c r="F175" s="2">
        <v>15</v>
      </c>
      <c r="G175" s="2">
        <v>0.2</v>
      </c>
      <c r="H175" s="3">
        <v>45712</v>
      </c>
      <c r="I175" s="5">
        <v>225.37</v>
      </c>
    </row>
    <row r="176" spans="1:9" ht="15" thickBot="1" x14ac:dyDescent="0.4">
      <c r="A176" s="4" t="s">
        <v>65</v>
      </c>
      <c r="B176" s="1" t="s">
        <v>47</v>
      </c>
      <c r="C176" s="1" t="s">
        <v>34</v>
      </c>
      <c r="D176" s="1" t="s">
        <v>39</v>
      </c>
      <c r="E176" s="2">
        <v>1618.22</v>
      </c>
      <c r="F176" s="2">
        <v>12</v>
      </c>
      <c r="G176" s="2">
        <v>0.2</v>
      </c>
      <c r="H176" s="3">
        <v>45712</v>
      </c>
      <c r="I176" s="5">
        <v>582.55999999999995</v>
      </c>
    </row>
    <row r="177" spans="1:9" ht="15" thickBot="1" x14ac:dyDescent="0.4">
      <c r="A177" s="4" t="s">
        <v>73</v>
      </c>
      <c r="B177" s="1" t="s">
        <v>53</v>
      </c>
      <c r="C177" s="1" t="s">
        <v>34</v>
      </c>
      <c r="D177" s="1" t="s">
        <v>12</v>
      </c>
      <c r="E177" s="2">
        <v>1014.43</v>
      </c>
      <c r="F177" s="2">
        <v>2</v>
      </c>
      <c r="G177" s="2">
        <v>0.15</v>
      </c>
      <c r="H177" s="3">
        <v>45713</v>
      </c>
      <c r="I177" s="5">
        <v>344.91</v>
      </c>
    </row>
    <row r="178" spans="1:9" ht="15" thickBot="1" x14ac:dyDescent="0.4">
      <c r="A178" s="4" t="s">
        <v>75</v>
      </c>
      <c r="B178" s="1" t="s">
        <v>31</v>
      </c>
      <c r="C178" s="1" t="s">
        <v>34</v>
      </c>
      <c r="D178" s="1" t="s">
        <v>15</v>
      </c>
      <c r="E178" s="2">
        <v>826.97</v>
      </c>
      <c r="F178" s="2">
        <v>18</v>
      </c>
      <c r="G178" s="2">
        <v>0.2</v>
      </c>
      <c r="H178" s="3">
        <v>45715</v>
      </c>
      <c r="I178" s="5">
        <v>330.79</v>
      </c>
    </row>
    <row r="179" spans="1:9" ht="15" thickBot="1" x14ac:dyDescent="0.4">
      <c r="A179" s="4" t="s">
        <v>16</v>
      </c>
      <c r="B179" s="1" t="s">
        <v>31</v>
      </c>
      <c r="C179" s="1" t="s">
        <v>34</v>
      </c>
      <c r="D179" s="1" t="s">
        <v>15</v>
      </c>
      <c r="E179" s="2">
        <v>1022.23</v>
      </c>
      <c r="F179" s="2">
        <v>8</v>
      </c>
      <c r="G179" s="2">
        <v>0.1</v>
      </c>
      <c r="H179" s="3">
        <v>45717</v>
      </c>
      <c r="I179" s="5">
        <v>460</v>
      </c>
    </row>
    <row r="180" spans="1:9" ht="15" thickBot="1" x14ac:dyDescent="0.4">
      <c r="A180" s="4" t="s">
        <v>72</v>
      </c>
      <c r="B180" s="1" t="s">
        <v>29</v>
      </c>
      <c r="C180" s="1" t="s">
        <v>18</v>
      </c>
      <c r="D180" s="1" t="s">
        <v>12</v>
      </c>
      <c r="E180" s="2">
        <v>1099.69</v>
      </c>
      <c r="F180" s="2">
        <v>6</v>
      </c>
      <c r="G180" s="2">
        <v>0</v>
      </c>
      <c r="H180" s="3">
        <v>45718</v>
      </c>
      <c r="I180" s="5">
        <v>439.88</v>
      </c>
    </row>
    <row r="181" spans="1:9" ht="15" thickBot="1" x14ac:dyDescent="0.4">
      <c r="A181" s="4" t="s">
        <v>52</v>
      </c>
      <c r="B181" s="1" t="s">
        <v>64</v>
      </c>
      <c r="C181" s="1" t="s">
        <v>24</v>
      </c>
      <c r="D181" s="1" t="s">
        <v>12</v>
      </c>
      <c r="E181" s="2">
        <v>710.52</v>
      </c>
      <c r="F181" s="2">
        <v>8</v>
      </c>
      <c r="G181" s="2">
        <v>0.1</v>
      </c>
      <c r="H181" s="3">
        <v>45721</v>
      </c>
      <c r="I181" s="5">
        <v>255.79</v>
      </c>
    </row>
    <row r="182" spans="1:9" ht="15" thickBot="1" x14ac:dyDescent="0.4">
      <c r="A182" s="4" t="s">
        <v>52</v>
      </c>
      <c r="B182" s="1" t="s">
        <v>59</v>
      </c>
      <c r="C182" s="1" t="s">
        <v>24</v>
      </c>
      <c r="D182" s="1" t="s">
        <v>12</v>
      </c>
      <c r="E182" s="2">
        <v>499.18</v>
      </c>
      <c r="F182" s="2">
        <v>15</v>
      </c>
      <c r="G182" s="2">
        <v>0.2</v>
      </c>
      <c r="H182" s="3">
        <v>45724</v>
      </c>
      <c r="I182" s="5">
        <v>159.74</v>
      </c>
    </row>
    <row r="183" spans="1:9" ht="15" thickBot="1" x14ac:dyDescent="0.4">
      <c r="A183" s="4" t="s">
        <v>37</v>
      </c>
      <c r="B183" s="1" t="s">
        <v>38</v>
      </c>
      <c r="C183" s="1" t="s">
        <v>20</v>
      </c>
      <c r="D183" s="1" t="s">
        <v>12</v>
      </c>
      <c r="E183" s="2">
        <v>1064.19</v>
      </c>
      <c r="F183" s="2">
        <v>18</v>
      </c>
      <c r="G183" s="2">
        <v>0.05</v>
      </c>
      <c r="H183" s="3">
        <v>45725</v>
      </c>
      <c r="I183" s="5">
        <v>404.39</v>
      </c>
    </row>
    <row r="184" spans="1:9" ht="15" thickBot="1" x14ac:dyDescent="0.4">
      <c r="A184" s="4" t="s">
        <v>67</v>
      </c>
      <c r="B184" s="1" t="s">
        <v>38</v>
      </c>
      <c r="C184" s="1" t="s">
        <v>18</v>
      </c>
      <c r="D184" s="1" t="s">
        <v>39</v>
      </c>
      <c r="E184" s="2">
        <v>438.76</v>
      </c>
      <c r="F184" s="2">
        <v>18</v>
      </c>
      <c r="G184" s="2">
        <v>0.05</v>
      </c>
      <c r="H184" s="3">
        <v>45726</v>
      </c>
      <c r="I184" s="5">
        <v>187.57</v>
      </c>
    </row>
    <row r="185" spans="1:9" ht="15" thickBot="1" x14ac:dyDescent="0.4">
      <c r="A185" s="4" t="s">
        <v>41</v>
      </c>
      <c r="B185" s="1" t="s">
        <v>55</v>
      </c>
      <c r="C185" s="1" t="s">
        <v>11</v>
      </c>
      <c r="D185" s="1" t="s">
        <v>15</v>
      </c>
      <c r="E185" s="2">
        <v>864.98</v>
      </c>
      <c r="F185" s="2">
        <v>2</v>
      </c>
      <c r="G185" s="2">
        <v>0.05</v>
      </c>
      <c r="H185" s="3">
        <v>45727</v>
      </c>
      <c r="I185" s="5">
        <v>410.87</v>
      </c>
    </row>
    <row r="186" spans="1:9" ht="15" thickBot="1" x14ac:dyDescent="0.4">
      <c r="A186" s="4" t="s">
        <v>57</v>
      </c>
      <c r="B186" s="1" t="s">
        <v>55</v>
      </c>
      <c r="C186" s="1" t="s">
        <v>11</v>
      </c>
      <c r="D186" s="1" t="s">
        <v>27</v>
      </c>
      <c r="E186" s="2">
        <v>984.93</v>
      </c>
      <c r="F186" s="2">
        <v>14</v>
      </c>
      <c r="G186" s="2">
        <v>0.2</v>
      </c>
      <c r="H186" s="3">
        <v>45733</v>
      </c>
      <c r="I186" s="5">
        <v>275.77999999999997</v>
      </c>
    </row>
    <row r="187" spans="1:9" ht="15" thickBot="1" x14ac:dyDescent="0.4">
      <c r="A187" s="4" t="s">
        <v>25</v>
      </c>
      <c r="B187" s="1" t="s">
        <v>55</v>
      </c>
      <c r="C187" s="1" t="s">
        <v>11</v>
      </c>
      <c r="D187" s="1" t="s">
        <v>15</v>
      </c>
      <c r="E187" s="2">
        <v>1493.49</v>
      </c>
      <c r="F187" s="2">
        <v>18</v>
      </c>
      <c r="G187" s="2">
        <v>0</v>
      </c>
      <c r="H187" s="3">
        <v>45734</v>
      </c>
      <c r="I187" s="5">
        <v>746.74</v>
      </c>
    </row>
    <row r="188" spans="1:9" ht="15" thickBot="1" x14ac:dyDescent="0.4">
      <c r="A188" s="4" t="s">
        <v>32</v>
      </c>
      <c r="B188" s="1" t="s">
        <v>53</v>
      </c>
      <c r="C188" s="1" t="s">
        <v>20</v>
      </c>
      <c r="D188" s="1" t="s">
        <v>15</v>
      </c>
      <c r="E188" s="2">
        <v>689.43</v>
      </c>
      <c r="F188" s="2">
        <v>9</v>
      </c>
      <c r="G188" s="2">
        <v>0.1</v>
      </c>
      <c r="H188" s="3">
        <v>45736</v>
      </c>
      <c r="I188" s="5">
        <v>310.24</v>
      </c>
    </row>
    <row r="189" spans="1:9" ht="15" thickBot="1" x14ac:dyDescent="0.4">
      <c r="A189" s="4" t="s">
        <v>40</v>
      </c>
      <c r="B189" s="1" t="s">
        <v>59</v>
      </c>
      <c r="C189" s="1" t="s">
        <v>20</v>
      </c>
      <c r="D189" s="1" t="s">
        <v>15</v>
      </c>
      <c r="E189" s="2">
        <v>682.24</v>
      </c>
      <c r="F189" s="2">
        <v>1</v>
      </c>
      <c r="G189" s="2">
        <v>0</v>
      </c>
      <c r="H189" s="3">
        <v>45738</v>
      </c>
      <c r="I189" s="5">
        <v>341.12</v>
      </c>
    </row>
    <row r="190" spans="1:9" ht="15" thickBot="1" x14ac:dyDescent="0.4">
      <c r="A190" s="4" t="s">
        <v>41</v>
      </c>
      <c r="B190" s="1" t="s">
        <v>26</v>
      </c>
      <c r="C190" s="1" t="s">
        <v>24</v>
      </c>
      <c r="D190" s="1" t="s">
        <v>21</v>
      </c>
      <c r="E190" s="2">
        <v>458.54</v>
      </c>
      <c r="F190" s="2">
        <v>15</v>
      </c>
      <c r="G190" s="2">
        <v>0.2</v>
      </c>
      <c r="H190" s="3">
        <v>45741</v>
      </c>
      <c r="I190" s="5">
        <v>91.71</v>
      </c>
    </row>
    <row r="191" spans="1:9" ht="15" thickBot="1" x14ac:dyDescent="0.4">
      <c r="A191" s="4" t="s">
        <v>32</v>
      </c>
      <c r="B191" s="1" t="s">
        <v>26</v>
      </c>
      <c r="C191" s="1" t="s">
        <v>20</v>
      </c>
      <c r="D191" s="1" t="s">
        <v>27</v>
      </c>
      <c r="E191" s="2">
        <v>1184.25</v>
      </c>
      <c r="F191" s="2">
        <v>11</v>
      </c>
      <c r="G191" s="2">
        <v>0.2</v>
      </c>
      <c r="H191" s="3">
        <v>45742</v>
      </c>
      <c r="I191" s="5">
        <v>331.59</v>
      </c>
    </row>
    <row r="192" spans="1:9" ht="15" thickBot="1" x14ac:dyDescent="0.4">
      <c r="A192" s="4" t="s">
        <v>25</v>
      </c>
      <c r="B192" s="1" t="s">
        <v>10</v>
      </c>
      <c r="C192" s="1" t="s">
        <v>20</v>
      </c>
      <c r="D192" s="1" t="s">
        <v>15</v>
      </c>
      <c r="E192" s="2">
        <v>762.14</v>
      </c>
      <c r="F192" s="2">
        <v>9</v>
      </c>
      <c r="G192" s="2">
        <v>0</v>
      </c>
      <c r="H192" s="3">
        <v>45743</v>
      </c>
      <c r="I192" s="5">
        <v>381.07</v>
      </c>
    </row>
    <row r="193" spans="1:9" ht="15" thickBot="1" x14ac:dyDescent="0.4">
      <c r="A193" s="4" t="s">
        <v>22</v>
      </c>
      <c r="B193" s="1" t="s">
        <v>53</v>
      </c>
      <c r="C193" s="1" t="s">
        <v>24</v>
      </c>
      <c r="D193" s="1" t="s">
        <v>12</v>
      </c>
      <c r="E193" s="2">
        <v>750.71</v>
      </c>
      <c r="F193" s="2">
        <v>10</v>
      </c>
      <c r="G193" s="2">
        <v>0.15</v>
      </c>
      <c r="H193" s="3">
        <v>45743</v>
      </c>
      <c r="I193" s="5">
        <v>255.24</v>
      </c>
    </row>
    <row r="194" spans="1:9" ht="15" thickBot="1" x14ac:dyDescent="0.4">
      <c r="A194" s="4" t="s">
        <v>75</v>
      </c>
      <c r="B194" s="1" t="s">
        <v>71</v>
      </c>
      <c r="C194" s="1" t="s">
        <v>34</v>
      </c>
      <c r="D194" s="1" t="s">
        <v>15</v>
      </c>
      <c r="E194" s="2">
        <v>1456.94</v>
      </c>
      <c r="F194" s="2">
        <v>14</v>
      </c>
      <c r="G194" s="2">
        <v>0.05</v>
      </c>
      <c r="H194" s="3">
        <v>45745</v>
      </c>
      <c r="I194" s="5">
        <v>692.05</v>
      </c>
    </row>
    <row r="195" spans="1:9" ht="15" thickBot="1" x14ac:dyDescent="0.4">
      <c r="A195" s="4" t="s">
        <v>44</v>
      </c>
      <c r="B195" s="1" t="s">
        <v>61</v>
      </c>
      <c r="C195" s="1" t="s">
        <v>18</v>
      </c>
      <c r="D195" s="1" t="s">
        <v>27</v>
      </c>
      <c r="E195" s="2">
        <v>1093.3800000000001</v>
      </c>
      <c r="F195" s="2">
        <v>17</v>
      </c>
      <c r="G195" s="2">
        <v>0.1</v>
      </c>
      <c r="H195" s="3">
        <v>45745</v>
      </c>
      <c r="I195" s="5">
        <v>344.41</v>
      </c>
    </row>
    <row r="196" spans="1:9" ht="15" thickBot="1" x14ac:dyDescent="0.4">
      <c r="A196" s="4" t="s">
        <v>37</v>
      </c>
      <c r="B196" s="1" t="s">
        <v>43</v>
      </c>
      <c r="C196" s="1" t="s">
        <v>11</v>
      </c>
      <c r="D196" s="1" t="s">
        <v>15</v>
      </c>
      <c r="E196" s="2">
        <v>934.27</v>
      </c>
      <c r="F196" s="2">
        <v>8</v>
      </c>
      <c r="G196" s="2">
        <v>0.15</v>
      </c>
      <c r="H196" s="3">
        <v>45746</v>
      </c>
      <c r="I196" s="5">
        <v>397.06</v>
      </c>
    </row>
    <row r="197" spans="1:9" ht="15" thickBot="1" x14ac:dyDescent="0.4">
      <c r="A197" s="4" t="s">
        <v>70</v>
      </c>
      <c r="B197" s="1" t="s">
        <v>36</v>
      </c>
      <c r="C197" s="1" t="s">
        <v>34</v>
      </c>
      <c r="D197" s="1" t="s">
        <v>15</v>
      </c>
      <c r="E197" s="2">
        <v>1465.35</v>
      </c>
      <c r="F197" s="2">
        <v>8</v>
      </c>
      <c r="G197" s="2">
        <v>0.2</v>
      </c>
      <c r="H197" s="3">
        <v>45746</v>
      </c>
      <c r="I197" s="5">
        <v>586.14</v>
      </c>
    </row>
    <row r="198" spans="1:9" ht="15" thickBot="1" x14ac:dyDescent="0.4">
      <c r="A198" s="4" t="s">
        <v>52</v>
      </c>
      <c r="B198" s="1" t="s">
        <v>14</v>
      </c>
      <c r="C198" s="1" t="s">
        <v>20</v>
      </c>
      <c r="D198" s="1" t="s">
        <v>39</v>
      </c>
      <c r="E198" s="2">
        <v>740.8</v>
      </c>
      <c r="F198" s="2">
        <v>3</v>
      </c>
      <c r="G198" s="2">
        <v>0</v>
      </c>
      <c r="H198" s="3">
        <v>45749</v>
      </c>
      <c r="I198" s="5">
        <v>333.36</v>
      </c>
    </row>
    <row r="199" spans="1:9" ht="15" thickBot="1" x14ac:dyDescent="0.4">
      <c r="A199" s="4" t="s">
        <v>58</v>
      </c>
      <c r="B199" s="1" t="s">
        <v>43</v>
      </c>
      <c r="C199" s="1" t="s">
        <v>11</v>
      </c>
      <c r="D199" s="1" t="s">
        <v>39</v>
      </c>
      <c r="E199" s="2">
        <v>545.44000000000005</v>
      </c>
      <c r="F199" s="2">
        <v>17</v>
      </c>
      <c r="G199" s="2">
        <v>0</v>
      </c>
      <c r="H199" s="3">
        <v>45752</v>
      </c>
      <c r="I199" s="5">
        <v>245.45</v>
      </c>
    </row>
    <row r="200" spans="1:9" ht="15" thickBot="1" x14ac:dyDescent="0.4">
      <c r="A200" s="4" t="s">
        <v>35</v>
      </c>
      <c r="B200" s="1" t="s">
        <v>36</v>
      </c>
      <c r="C200" s="1" t="s">
        <v>18</v>
      </c>
      <c r="D200" s="1" t="s">
        <v>12</v>
      </c>
      <c r="E200" s="2">
        <v>997.61</v>
      </c>
      <c r="F200" s="2">
        <v>8</v>
      </c>
      <c r="G200" s="2">
        <v>0.05</v>
      </c>
      <c r="H200" s="3">
        <v>45752</v>
      </c>
      <c r="I200" s="5">
        <v>379.09</v>
      </c>
    </row>
    <row r="201" spans="1:9" x14ac:dyDescent="0.35">
      <c r="A201" s="9" t="s">
        <v>60</v>
      </c>
      <c r="B201" s="10" t="s">
        <v>36</v>
      </c>
      <c r="C201" s="10" t="s">
        <v>20</v>
      </c>
      <c r="D201" s="10" t="s">
        <v>15</v>
      </c>
      <c r="E201" s="11">
        <v>928.32</v>
      </c>
      <c r="F201" s="11">
        <v>2</v>
      </c>
      <c r="G201" s="11">
        <v>0.05</v>
      </c>
      <c r="H201" s="12">
        <v>45754</v>
      </c>
      <c r="I201" s="13">
        <v>440.95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6804-EBCC-4E3C-A29F-96B167A95D11}">
  <dimension ref="A1:B12"/>
  <sheetViews>
    <sheetView workbookViewId="0">
      <selection activeCell="B3" sqref="B3"/>
    </sheetView>
  </sheetViews>
  <sheetFormatPr defaultRowHeight="14.5" x14ac:dyDescent="0.35"/>
  <cols>
    <col min="1" max="1" width="15.26953125" bestFit="1" customWidth="1"/>
    <col min="2" max="2" width="11.54296875" bestFit="1" customWidth="1"/>
  </cols>
  <sheetData>
    <row r="1" spans="1:2" x14ac:dyDescent="0.35">
      <c r="A1" s="14" t="s">
        <v>76</v>
      </c>
      <c r="B1" t="s">
        <v>78</v>
      </c>
    </row>
    <row r="2" spans="1:2" x14ac:dyDescent="0.35">
      <c r="A2" s="15" t="s">
        <v>55</v>
      </c>
      <c r="B2" s="16">
        <v>11915.829999999998</v>
      </c>
    </row>
    <row r="3" spans="1:2" x14ac:dyDescent="0.35">
      <c r="A3" s="15" t="s">
        <v>38</v>
      </c>
      <c r="B3" s="16">
        <v>11398.32</v>
      </c>
    </row>
    <row r="4" spans="1:2" x14ac:dyDescent="0.35">
      <c r="A4" s="15" t="s">
        <v>61</v>
      </c>
      <c r="B4" s="16">
        <v>8543.9699999999993</v>
      </c>
    </row>
    <row r="5" spans="1:2" x14ac:dyDescent="0.35">
      <c r="A5" s="15" t="s">
        <v>23</v>
      </c>
      <c r="B5" s="16">
        <v>20774.739999999998</v>
      </c>
    </row>
    <row r="6" spans="1:2" x14ac:dyDescent="0.35">
      <c r="A6" s="15" t="s">
        <v>29</v>
      </c>
      <c r="B6" s="16">
        <v>9970.1999999999989</v>
      </c>
    </row>
    <row r="7" spans="1:2" x14ac:dyDescent="0.35">
      <c r="A7" s="15" t="s">
        <v>48</v>
      </c>
      <c r="B7" s="16">
        <v>8090.12</v>
      </c>
    </row>
    <row r="8" spans="1:2" x14ac:dyDescent="0.35">
      <c r="A8" s="15" t="s">
        <v>45</v>
      </c>
      <c r="B8" s="16">
        <v>8635.9500000000007</v>
      </c>
    </row>
    <row r="9" spans="1:2" x14ac:dyDescent="0.35">
      <c r="A9" s="15" t="s">
        <v>31</v>
      </c>
      <c r="B9" s="16">
        <v>17143.289999999997</v>
      </c>
    </row>
    <row r="10" spans="1:2" x14ac:dyDescent="0.35">
      <c r="A10" s="15" t="s">
        <v>26</v>
      </c>
      <c r="B10" s="16">
        <v>7881.9</v>
      </c>
    </row>
    <row r="11" spans="1:2" x14ac:dyDescent="0.35">
      <c r="A11" s="15" t="s">
        <v>14</v>
      </c>
      <c r="B11" s="16">
        <v>8331.8499999999985</v>
      </c>
    </row>
    <row r="12" spans="1:2" x14ac:dyDescent="0.35">
      <c r="A12" s="15" t="s">
        <v>77</v>
      </c>
      <c r="B12" s="16">
        <v>112686.16999999998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C571B-04ED-4484-AC7F-A05E8559A154}">
  <dimension ref="A1:F201"/>
  <sheetViews>
    <sheetView workbookViewId="0">
      <selection activeCell="G4" sqref="G4"/>
    </sheetView>
  </sheetViews>
  <sheetFormatPr defaultRowHeight="14.5" x14ac:dyDescent="0.35"/>
  <cols>
    <col min="5" max="5" width="11.81640625" bestFit="1" customWidth="1"/>
    <col min="7" max="7" width="11.81640625" bestFit="1" customWidth="1"/>
    <col min="8" max="8" width="10.81640625" bestFit="1" customWidth="1"/>
  </cols>
  <sheetData>
    <row r="1" spans="1:6" ht="15" thickBot="1" x14ac:dyDescent="0.4">
      <c r="A1" s="25" t="s">
        <v>4</v>
      </c>
      <c r="B1" s="25" t="s">
        <v>5</v>
      </c>
      <c r="C1" s="25" t="s">
        <v>6</v>
      </c>
      <c r="D1" s="25" t="s">
        <v>8</v>
      </c>
      <c r="E1" s="38" t="s">
        <v>125</v>
      </c>
      <c r="F1" s="38" t="s">
        <v>124</v>
      </c>
    </row>
    <row r="2" spans="1:6" ht="15" thickBot="1" x14ac:dyDescent="0.4">
      <c r="A2" s="18">
        <v>1036.0899999999999</v>
      </c>
      <c r="B2" s="18">
        <v>4</v>
      </c>
      <c r="C2" s="18">
        <f>$F$2</f>
        <v>0.05</v>
      </c>
      <c r="D2" s="18">
        <v>331.55</v>
      </c>
      <c r="E2">
        <f>SUM(D2:D201)</f>
        <v>68287.010000000009</v>
      </c>
      <c r="F2">
        <v>0.05</v>
      </c>
    </row>
    <row r="3" spans="1:6" ht="15" thickBot="1" x14ac:dyDescent="0.4">
      <c r="A3" s="2">
        <v>1101.28</v>
      </c>
      <c r="B3" s="2">
        <v>3</v>
      </c>
      <c r="C3" s="18">
        <f t="shared" ref="C3:C66" si="0">$F$2</f>
        <v>0.05</v>
      </c>
      <c r="D3" s="2">
        <v>440.51</v>
      </c>
    </row>
    <row r="4" spans="1:6" ht="15" thickBot="1" x14ac:dyDescent="0.4">
      <c r="A4" s="18">
        <v>713.34</v>
      </c>
      <c r="B4" s="18">
        <v>17</v>
      </c>
      <c r="C4" s="18">
        <f t="shared" si="0"/>
        <v>0.05</v>
      </c>
      <c r="D4" s="18">
        <v>285.33999999999997</v>
      </c>
    </row>
    <row r="5" spans="1:6" ht="15" thickBot="1" x14ac:dyDescent="0.4">
      <c r="A5" s="2">
        <v>760.93</v>
      </c>
      <c r="B5" s="2">
        <v>4</v>
      </c>
      <c r="C5" s="18">
        <f t="shared" si="0"/>
        <v>0.05</v>
      </c>
      <c r="D5" s="2">
        <v>161.69999999999999</v>
      </c>
    </row>
    <row r="6" spans="1:6" ht="15" thickBot="1" x14ac:dyDescent="0.4">
      <c r="A6" s="18">
        <v>847</v>
      </c>
      <c r="B6" s="18">
        <v>12</v>
      </c>
      <c r="C6" s="18">
        <f t="shared" si="0"/>
        <v>0.05</v>
      </c>
      <c r="D6" s="18">
        <v>271.04000000000002</v>
      </c>
    </row>
    <row r="7" spans="1:6" ht="15" thickBot="1" x14ac:dyDescent="0.4">
      <c r="A7" s="2">
        <v>965.64</v>
      </c>
      <c r="B7" s="2">
        <v>8</v>
      </c>
      <c r="C7" s="18">
        <f t="shared" si="0"/>
        <v>0.05</v>
      </c>
      <c r="D7" s="2">
        <v>304.18</v>
      </c>
    </row>
    <row r="8" spans="1:6" ht="15" thickBot="1" x14ac:dyDescent="0.4">
      <c r="A8" s="18">
        <v>1317.53</v>
      </c>
      <c r="B8" s="18">
        <v>12</v>
      </c>
      <c r="C8" s="18">
        <f t="shared" si="0"/>
        <v>0.05</v>
      </c>
      <c r="D8" s="18">
        <v>312.91000000000003</v>
      </c>
    </row>
    <row r="9" spans="1:6" ht="15" thickBot="1" x14ac:dyDescent="0.4">
      <c r="A9" s="2">
        <v>1074.47</v>
      </c>
      <c r="B9" s="2">
        <v>6</v>
      </c>
      <c r="C9" s="18">
        <f t="shared" si="0"/>
        <v>0.05</v>
      </c>
      <c r="D9" s="2">
        <v>300.85000000000002</v>
      </c>
    </row>
    <row r="10" spans="1:6" ht="15" thickBot="1" x14ac:dyDescent="0.4">
      <c r="A10" s="18">
        <v>501.54</v>
      </c>
      <c r="B10" s="18">
        <v>11</v>
      </c>
      <c r="C10" s="18">
        <f t="shared" si="0"/>
        <v>0.05</v>
      </c>
      <c r="D10" s="18">
        <v>190.59</v>
      </c>
    </row>
    <row r="11" spans="1:6" ht="15" thickBot="1" x14ac:dyDescent="0.4">
      <c r="A11" s="2">
        <v>737.31</v>
      </c>
      <c r="B11" s="2">
        <v>2</v>
      </c>
      <c r="C11" s="18">
        <f t="shared" si="0"/>
        <v>0.05</v>
      </c>
      <c r="D11" s="2">
        <v>350.22</v>
      </c>
    </row>
    <row r="12" spans="1:6" ht="15" thickBot="1" x14ac:dyDescent="0.4">
      <c r="A12" s="18">
        <v>1572.82</v>
      </c>
      <c r="B12" s="18">
        <v>6</v>
      </c>
      <c r="C12" s="18">
        <f t="shared" si="0"/>
        <v>0.05</v>
      </c>
      <c r="D12" s="18">
        <v>672.38</v>
      </c>
    </row>
    <row r="13" spans="1:6" ht="15" thickBot="1" x14ac:dyDescent="0.4">
      <c r="A13" s="2">
        <v>1343.13</v>
      </c>
      <c r="B13" s="2">
        <v>14</v>
      </c>
      <c r="C13" s="18">
        <f t="shared" si="0"/>
        <v>0.05</v>
      </c>
      <c r="D13" s="2">
        <v>456.66</v>
      </c>
    </row>
    <row r="14" spans="1:6" ht="15" thickBot="1" x14ac:dyDescent="0.4">
      <c r="A14" s="18">
        <v>1191.58</v>
      </c>
      <c r="B14" s="18">
        <v>14</v>
      </c>
      <c r="C14" s="18">
        <f t="shared" si="0"/>
        <v>0.05</v>
      </c>
      <c r="D14" s="18">
        <v>452.8</v>
      </c>
    </row>
    <row r="15" spans="1:6" ht="15" thickBot="1" x14ac:dyDescent="0.4">
      <c r="A15" s="2">
        <v>822.28</v>
      </c>
      <c r="B15" s="2">
        <v>7</v>
      </c>
      <c r="C15" s="18">
        <f t="shared" si="0"/>
        <v>0.05</v>
      </c>
      <c r="D15" s="2">
        <v>273.41000000000003</v>
      </c>
    </row>
    <row r="16" spans="1:6" ht="15" thickBot="1" x14ac:dyDescent="0.4">
      <c r="A16" s="18">
        <v>521.66999999999996</v>
      </c>
      <c r="B16" s="18">
        <v>15</v>
      </c>
      <c r="C16" s="18">
        <f t="shared" si="0"/>
        <v>0.05</v>
      </c>
      <c r="D16" s="18">
        <v>155.19999999999999</v>
      </c>
    </row>
    <row r="17" spans="1:4" ht="15" thickBot="1" x14ac:dyDescent="0.4">
      <c r="A17" s="2">
        <v>1502.93</v>
      </c>
      <c r="B17" s="2">
        <v>14</v>
      </c>
      <c r="C17" s="18">
        <f t="shared" si="0"/>
        <v>0.05</v>
      </c>
      <c r="D17" s="2">
        <v>300.58999999999997</v>
      </c>
    </row>
    <row r="18" spans="1:4" ht="15" thickBot="1" x14ac:dyDescent="0.4">
      <c r="A18" s="18">
        <v>877.58</v>
      </c>
      <c r="B18" s="18">
        <v>10</v>
      </c>
      <c r="C18" s="18">
        <f t="shared" si="0"/>
        <v>0.05</v>
      </c>
      <c r="D18" s="18">
        <v>298.38</v>
      </c>
    </row>
    <row r="19" spans="1:4" ht="15" thickBot="1" x14ac:dyDescent="0.4">
      <c r="A19" s="2">
        <v>636.70000000000005</v>
      </c>
      <c r="B19" s="2">
        <v>4</v>
      </c>
      <c r="C19" s="18">
        <f t="shared" si="0"/>
        <v>0.05</v>
      </c>
      <c r="D19" s="2">
        <v>203.74</v>
      </c>
    </row>
    <row r="20" spans="1:4" ht="15" thickBot="1" x14ac:dyDescent="0.4">
      <c r="A20" s="18">
        <v>1506.14</v>
      </c>
      <c r="B20" s="18">
        <v>13</v>
      </c>
      <c r="C20" s="18">
        <f t="shared" si="0"/>
        <v>0.05</v>
      </c>
      <c r="D20" s="18">
        <v>481.96</v>
      </c>
    </row>
    <row r="21" spans="1:4" ht="15" thickBot="1" x14ac:dyDescent="0.4">
      <c r="A21" s="2">
        <v>645.02</v>
      </c>
      <c r="B21" s="2">
        <v>4</v>
      </c>
      <c r="C21" s="18">
        <f t="shared" si="0"/>
        <v>0.05</v>
      </c>
      <c r="D21" s="2">
        <v>161.26</v>
      </c>
    </row>
    <row r="22" spans="1:4" ht="15" thickBot="1" x14ac:dyDescent="0.4">
      <c r="A22" s="18">
        <v>953.3</v>
      </c>
      <c r="B22" s="18">
        <v>11</v>
      </c>
      <c r="C22" s="18">
        <f t="shared" si="0"/>
        <v>0.05</v>
      </c>
      <c r="D22" s="18">
        <v>476.65</v>
      </c>
    </row>
    <row r="23" spans="1:4" ht="15" thickBot="1" x14ac:dyDescent="0.4">
      <c r="A23" s="2">
        <v>388.56</v>
      </c>
      <c r="B23" s="2">
        <v>14</v>
      </c>
      <c r="C23" s="18">
        <f t="shared" si="0"/>
        <v>0.05</v>
      </c>
      <c r="D23" s="2">
        <v>82.57</v>
      </c>
    </row>
    <row r="24" spans="1:4" ht="15" thickBot="1" x14ac:dyDescent="0.4">
      <c r="A24" s="18">
        <v>743.17</v>
      </c>
      <c r="B24" s="18">
        <v>9</v>
      </c>
      <c r="C24" s="18">
        <f t="shared" si="0"/>
        <v>0.05</v>
      </c>
      <c r="D24" s="18">
        <v>297.27</v>
      </c>
    </row>
    <row r="25" spans="1:4" ht="15" thickBot="1" x14ac:dyDescent="0.4">
      <c r="A25" s="2">
        <v>706.37</v>
      </c>
      <c r="B25" s="2">
        <v>6</v>
      </c>
      <c r="C25" s="18">
        <f t="shared" si="0"/>
        <v>0.05</v>
      </c>
      <c r="D25" s="2">
        <v>176.59</v>
      </c>
    </row>
    <row r="26" spans="1:4" ht="15" thickBot="1" x14ac:dyDescent="0.4">
      <c r="A26" s="18">
        <v>925.31</v>
      </c>
      <c r="B26" s="18">
        <v>8</v>
      </c>
      <c r="C26" s="18">
        <f t="shared" si="0"/>
        <v>0.05</v>
      </c>
      <c r="D26" s="18">
        <v>374.75</v>
      </c>
    </row>
    <row r="27" spans="1:4" ht="15" thickBot="1" x14ac:dyDescent="0.4">
      <c r="A27" s="2">
        <v>1173.1199999999999</v>
      </c>
      <c r="B27" s="2">
        <v>18</v>
      </c>
      <c r="C27" s="18">
        <f t="shared" si="0"/>
        <v>0.05</v>
      </c>
      <c r="D27" s="2">
        <v>293.27999999999997</v>
      </c>
    </row>
    <row r="28" spans="1:4" ht="15" thickBot="1" x14ac:dyDescent="0.4">
      <c r="A28" s="18">
        <v>675.54</v>
      </c>
      <c r="B28" s="18">
        <v>17</v>
      </c>
      <c r="C28" s="18">
        <f t="shared" si="0"/>
        <v>0.05</v>
      </c>
      <c r="D28" s="18">
        <v>236.44</v>
      </c>
    </row>
    <row r="29" spans="1:4" ht="15" thickBot="1" x14ac:dyDescent="0.4">
      <c r="A29" s="2">
        <v>939.09</v>
      </c>
      <c r="B29" s="2">
        <v>2</v>
      </c>
      <c r="C29" s="18">
        <f t="shared" si="0"/>
        <v>0.05</v>
      </c>
      <c r="D29" s="2">
        <v>356.85</v>
      </c>
    </row>
    <row r="30" spans="1:4" ht="15" thickBot="1" x14ac:dyDescent="0.4">
      <c r="A30" s="18">
        <v>983.34</v>
      </c>
      <c r="B30" s="18">
        <v>19</v>
      </c>
      <c r="C30" s="18">
        <f t="shared" si="0"/>
        <v>0.05</v>
      </c>
      <c r="D30" s="18">
        <v>398.25</v>
      </c>
    </row>
    <row r="31" spans="1:4" ht="15" thickBot="1" x14ac:dyDescent="0.4">
      <c r="A31" s="2">
        <v>801.21</v>
      </c>
      <c r="B31" s="2">
        <v>3</v>
      </c>
      <c r="C31" s="18">
        <f t="shared" si="0"/>
        <v>0.05</v>
      </c>
      <c r="D31" s="2">
        <v>160.24</v>
      </c>
    </row>
    <row r="32" spans="1:4" ht="15" thickBot="1" x14ac:dyDescent="0.4">
      <c r="A32" s="18">
        <v>1450.71</v>
      </c>
      <c r="B32" s="18">
        <v>5</v>
      </c>
      <c r="C32" s="18">
        <f t="shared" si="0"/>
        <v>0.05</v>
      </c>
      <c r="D32" s="18">
        <v>326.41000000000003</v>
      </c>
    </row>
    <row r="33" spans="1:4" ht="15" thickBot="1" x14ac:dyDescent="0.4">
      <c r="A33" s="2">
        <v>1023.21</v>
      </c>
      <c r="B33" s="2">
        <v>18</v>
      </c>
      <c r="C33" s="18">
        <f t="shared" si="0"/>
        <v>0.05</v>
      </c>
      <c r="D33" s="2">
        <v>388.82</v>
      </c>
    </row>
    <row r="34" spans="1:4" ht="15" thickBot="1" x14ac:dyDescent="0.4">
      <c r="A34" s="18">
        <v>853.72</v>
      </c>
      <c r="B34" s="18">
        <v>5</v>
      </c>
      <c r="C34" s="18">
        <f t="shared" si="0"/>
        <v>0.05</v>
      </c>
      <c r="D34" s="18">
        <v>253.98</v>
      </c>
    </row>
    <row r="35" spans="1:4" ht="15" thickBot="1" x14ac:dyDescent="0.4">
      <c r="A35" s="2">
        <v>967.89</v>
      </c>
      <c r="B35" s="2">
        <v>10</v>
      </c>
      <c r="C35" s="18">
        <f t="shared" si="0"/>
        <v>0.05</v>
      </c>
      <c r="D35" s="2">
        <v>217.78</v>
      </c>
    </row>
    <row r="36" spans="1:4" ht="15" thickBot="1" x14ac:dyDescent="0.4">
      <c r="A36" s="18">
        <v>1200.9000000000001</v>
      </c>
      <c r="B36" s="18">
        <v>14</v>
      </c>
      <c r="C36" s="18">
        <f t="shared" si="0"/>
        <v>0.05</v>
      </c>
      <c r="D36" s="18">
        <v>513.38</v>
      </c>
    </row>
    <row r="37" spans="1:4" ht="15" thickBot="1" x14ac:dyDescent="0.4">
      <c r="A37" s="2">
        <v>472.38</v>
      </c>
      <c r="B37" s="2">
        <v>12</v>
      </c>
      <c r="C37" s="18">
        <f t="shared" si="0"/>
        <v>0.05</v>
      </c>
      <c r="D37" s="2">
        <v>151.16</v>
      </c>
    </row>
    <row r="38" spans="1:4" ht="15" thickBot="1" x14ac:dyDescent="0.4">
      <c r="A38" s="18">
        <v>840.92</v>
      </c>
      <c r="B38" s="18">
        <v>9</v>
      </c>
      <c r="C38" s="18">
        <f t="shared" si="0"/>
        <v>0.05</v>
      </c>
      <c r="D38" s="18">
        <v>359.49</v>
      </c>
    </row>
    <row r="39" spans="1:4" ht="15" thickBot="1" x14ac:dyDescent="0.4">
      <c r="A39" s="2">
        <v>1410.06</v>
      </c>
      <c r="B39" s="2">
        <v>11</v>
      </c>
      <c r="C39" s="18">
        <f t="shared" si="0"/>
        <v>0.05</v>
      </c>
      <c r="D39" s="2">
        <v>468.84</v>
      </c>
    </row>
    <row r="40" spans="1:4" ht="15" thickBot="1" x14ac:dyDescent="0.4">
      <c r="A40" s="18">
        <v>773.09</v>
      </c>
      <c r="B40" s="18">
        <v>13</v>
      </c>
      <c r="C40" s="18">
        <f t="shared" si="0"/>
        <v>0.05</v>
      </c>
      <c r="D40" s="18">
        <v>229.99</v>
      </c>
    </row>
    <row r="41" spans="1:4" ht="15" thickBot="1" x14ac:dyDescent="0.4">
      <c r="A41" s="2">
        <v>580.42999999999995</v>
      </c>
      <c r="B41" s="2">
        <v>19</v>
      </c>
      <c r="C41" s="18">
        <f t="shared" si="0"/>
        <v>0.05</v>
      </c>
      <c r="D41" s="2">
        <v>197.35</v>
      </c>
    </row>
    <row r="42" spans="1:4" ht="15" thickBot="1" x14ac:dyDescent="0.4">
      <c r="A42" s="18">
        <v>1151.21</v>
      </c>
      <c r="B42" s="18">
        <v>15</v>
      </c>
      <c r="C42" s="18">
        <f t="shared" si="0"/>
        <v>0.05</v>
      </c>
      <c r="D42" s="18">
        <v>414.44</v>
      </c>
    </row>
    <row r="43" spans="1:4" ht="15" thickBot="1" x14ac:dyDescent="0.4">
      <c r="A43" s="2">
        <v>1025.98</v>
      </c>
      <c r="B43" s="2">
        <v>5</v>
      </c>
      <c r="C43" s="18">
        <f t="shared" si="0"/>
        <v>0.05</v>
      </c>
      <c r="D43" s="2">
        <v>369.35</v>
      </c>
    </row>
    <row r="44" spans="1:4" ht="15" thickBot="1" x14ac:dyDescent="0.4">
      <c r="A44" s="18">
        <v>556.41999999999996</v>
      </c>
      <c r="B44" s="18">
        <v>11</v>
      </c>
      <c r="C44" s="18">
        <f t="shared" si="0"/>
        <v>0.05</v>
      </c>
      <c r="D44" s="18">
        <v>212.83</v>
      </c>
    </row>
    <row r="45" spans="1:4" ht="15" thickBot="1" x14ac:dyDescent="0.4">
      <c r="A45" s="2">
        <v>840.85</v>
      </c>
      <c r="B45" s="2">
        <v>19</v>
      </c>
      <c r="C45" s="18">
        <f t="shared" si="0"/>
        <v>0.05</v>
      </c>
      <c r="D45" s="2">
        <v>302.70999999999998</v>
      </c>
    </row>
    <row r="46" spans="1:4" ht="15" thickBot="1" x14ac:dyDescent="0.4">
      <c r="A46" s="18">
        <v>1227.25</v>
      </c>
      <c r="B46" s="18">
        <v>12</v>
      </c>
      <c r="C46" s="18">
        <f t="shared" si="0"/>
        <v>0.05</v>
      </c>
      <c r="D46" s="18">
        <v>365.11</v>
      </c>
    </row>
    <row r="47" spans="1:4" ht="15" thickBot="1" x14ac:dyDescent="0.4">
      <c r="A47" s="2">
        <v>856.7</v>
      </c>
      <c r="B47" s="2">
        <v>2</v>
      </c>
      <c r="C47" s="18">
        <f t="shared" si="0"/>
        <v>0.05</v>
      </c>
      <c r="D47" s="2">
        <v>214.18</v>
      </c>
    </row>
    <row r="48" spans="1:4" ht="15" thickBot="1" x14ac:dyDescent="0.4">
      <c r="A48" s="18">
        <v>1225.42</v>
      </c>
      <c r="B48" s="18">
        <v>8</v>
      </c>
      <c r="C48" s="18">
        <f t="shared" si="0"/>
        <v>0.05</v>
      </c>
      <c r="D48" s="18">
        <v>468.72</v>
      </c>
    </row>
    <row r="49" spans="1:4" ht="15" thickBot="1" x14ac:dyDescent="0.4">
      <c r="A49" s="2">
        <v>1001.57</v>
      </c>
      <c r="B49" s="2">
        <v>12</v>
      </c>
      <c r="C49" s="18">
        <f t="shared" si="0"/>
        <v>0.05</v>
      </c>
      <c r="D49" s="2">
        <v>450.71</v>
      </c>
    </row>
    <row r="50" spans="1:4" ht="15" thickBot="1" x14ac:dyDescent="0.4">
      <c r="A50" s="18">
        <v>1186.8499999999999</v>
      </c>
      <c r="B50" s="18">
        <v>19</v>
      </c>
      <c r="C50" s="18">
        <f t="shared" si="0"/>
        <v>0.05</v>
      </c>
      <c r="D50" s="18">
        <v>332.32</v>
      </c>
    </row>
    <row r="51" spans="1:4" ht="15" thickBot="1" x14ac:dyDescent="0.4">
      <c r="A51" s="2">
        <v>775.45</v>
      </c>
      <c r="B51" s="2">
        <v>6</v>
      </c>
      <c r="C51" s="18">
        <f t="shared" si="0"/>
        <v>0.05</v>
      </c>
      <c r="D51" s="2">
        <v>174.48</v>
      </c>
    </row>
    <row r="52" spans="1:4" ht="15" thickBot="1" x14ac:dyDescent="0.4">
      <c r="A52" s="18">
        <v>1021.47</v>
      </c>
      <c r="B52" s="18">
        <v>6</v>
      </c>
      <c r="C52" s="18">
        <f t="shared" si="0"/>
        <v>0.05</v>
      </c>
      <c r="D52" s="18">
        <v>242.6</v>
      </c>
    </row>
    <row r="53" spans="1:4" ht="15" thickBot="1" x14ac:dyDescent="0.4">
      <c r="A53" s="2">
        <v>1226.6199999999999</v>
      </c>
      <c r="B53" s="2">
        <v>7</v>
      </c>
      <c r="C53" s="18">
        <f t="shared" si="0"/>
        <v>0.05</v>
      </c>
      <c r="D53" s="2">
        <v>551.98</v>
      </c>
    </row>
    <row r="54" spans="1:4" ht="15" thickBot="1" x14ac:dyDescent="0.4">
      <c r="A54" s="18">
        <v>1086.93</v>
      </c>
      <c r="B54" s="18">
        <v>2</v>
      </c>
      <c r="C54" s="18">
        <f t="shared" si="0"/>
        <v>0.05</v>
      </c>
      <c r="D54" s="18">
        <v>380.43</v>
      </c>
    </row>
    <row r="55" spans="1:4" ht="15" thickBot="1" x14ac:dyDescent="0.4">
      <c r="A55" s="2">
        <v>942.9</v>
      </c>
      <c r="B55" s="2">
        <v>18</v>
      </c>
      <c r="C55" s="18">
        <f t="shared" si="0"/>
        <v>0.05</v>
      </c>
      <c r="D55" s="2">
        <v>339.44</v>
      </c>
    </row>
    <row r="56" spans="1:4" ht="15" thickBot="1" x14ac:dyDescent="0.4">
      <c r="A56" s="18">
        <v>818.8</v>
      </c>
      <c r="B56" s="18">
        <v>15</v>
      </c>
      <c r="C56" s="18">
        <f t="shared" si="0"/>
        <v>0.05</v>
      </c>
      <c r="D56" s="18">
        <v>173.99</v>
      </c>
    </row>
    <row r="57" spans="1:4" ht="15" thickBot="1" x14ac:dyDescent="0.4">
      <c r="A57" s="2">
        <v>919.04</v>
      </c>
      <c r="B57" s="2">
        <v>10</v>
      </c>
      <c r="C57" s="18">
        <f t="shared" si="0"/>
        <v>0.05</v>
      </c>
      <c r="D57" s="2">
        <v>257.33</v>
      </c>
    </row>
    <row r="58" spans="1:4" ht="15" thickBot="1" x14ac:dyDescent="0.4">
      <c r="A58" s="18">
        <v>973.26</v>
      </c>
      <c r="B58" s="18">
        <v>11</v>
      </c>
      <c r="C58" s="18">
        <f t="shared" si="0"/>
        <v>0.05</v>
      </c>
      <c r="D58" s="18">
        <v>389.3</v>
      </c>
    </row>
    <row r="59" spans="1:4" ht="15" thickBot="1" x14ac:dyDescent="0.4">
      <c r="A59" s="2">
        <v>741.61</v>
      </c>
      <c r="B59" s="2">
        <v>1</v>
      </c>
      <c r="C59" s="18">
        <f t="shared" si="0"/>
        <v>0.05</v>
      </c>
      <c r="D59" s="2">
        <v>148.32</v>
      </c>
    </row>
    <row r="60" spans="1:4" ht="15" thickBot="1" x14ac:dyDescent="0.4">
      <c r="A60" s="18">
        <v>1248.82</v>
      </c>
      <c r="B60" s="18">
        <v>2</v>
      </c>
      <c r="C60" s="18">
        <f t="shared" si="0"/>
        <v>0.05</v>
      </c>
      <c r="D60" s="18">
        <v>449.58</v>
      </c>
    </row>
    <row r="61" spans="1:4" ht="15" thickBot="1" x14ac:dyDescent="0.4">
      <c r="A61" s="2">
        <v>1360.36</v>
      </c>
      <c r="B61" s="2">
        <v>17</v>
      </c>
      <c r="C61" s="18">
        <f t="shared" si="0"/>
        <v>0.05</v>
      </c>
      <c r="D61" s="2">
        <v>680.18</v>
      </c>
    </row>
    <row r="62" spans="1:4" ht="15" thickBot="1" x14ac:dyDescent="0.4">
      <c r="A62" s="18">
        <v>1383.3</v>
      </c>
      <c r="B62" s="18">
        <v>8</v>
      </c>
      <c r="C62" s="18">
        <f t="shared" si="0"/>
        <v>0.05</v>
      </c>
      <c r="D62" s="18">
        <v>497.99</v>
      </c>
    </row>
    <row r="63" spans="1:4" ht="15" thickBot="1" x14ac:dyDescent="0.4">
      <c r="A63" s="2">
        <v>488.99</v>
      </c>
      <c r="B63" s="2">
        <v>9</v>
      </c>
      <c r="C63" s="18">
        <f t="shared" si="0"/>
        <v>0.05</v>
      </c>
      <c r="D63" s="2">
        <v>220.05</v>
      </c>
    </row>
    <row r="64" spans="1:4" ht="15" thickBot="1" x14ac:dyDescent="0.4">
      <c r="A64" s="18">
        <v>933.71</v>
      </c>
      <c r="B64" s="18">
        <v>17</v>
      </c>
      <c r="C64" s="18">
        <f t="shared" si="0"/>
        <v>0.05</v>
      </c>
      <c r="D64" s="18">
        <v>294.12</v>
      </c>
    </row>
    <row r="65" spans="1:4" ht="15" thickBot="1" x14ac:dyDescent="0.4">
      <c r="A65" s="2">
        <v>1005.53</v>
      </c>
      <c r="B65" s="2">
        <v>17</v>
      </c>
      <c r="C65" s="18">
        <f t="shared" si="0"/>
        <v>0.05</v>
      </c>
      <c r="D65" s="2">
        <v>201.11</v>
      </c>
    </row>
    <row r="66" spans="1:4" ht="15" thickBot="1" x14ac:dyDescent="0.4">
      <c r="A66" s="18">
        <v>1100.0999999999999</v>
      </c>
      <c r="B66" s="18">
        <v>5</v>
      </c>
      <c r="C66" s="18">
        <f t="shared" si="0"/>
        <v>0.05</v>
      </c>
      <c r="D66" s="18">
        <v>261.27</v>
      </c>
    </row>
    <row r="67" spans="1:4" ht="15" thickBot="1" x14ac:dyDescent="0.4">
      <c r="A67" s="2">
        <v>1034.7</v>
      </c>
      <c r="B67" s="2">
        <v>15</v>
      </c>
      <c r="C67" s="18">
        <f t="shared" ref="C67:C130" si="1">$F$2</f>
        <v>0.05</v>
      </c>
      <c r="D67" s="2">
        <v>307.82</v>
      </c>
    </row>
    <row r="68" spans="1:4" ht="15" thickBot="1" x14ac:dyDescent="0.4">
      <c r="A68" s="18">
        <v>876.44</v>
      </c>
      <c r="B68" s="18">
        <v>12</v>
      </c>
      <c r="C68" s="18">
        <f t="shared" si="1"/>
        <v>0.05</v>
      </c>
      <c r="D68" s="18">
        <v>333.05</v>
      </c>
    </row>
    <row r="69" spans="1:4" ht="15" thickBot="1" x14ac:dyDescent="0.4">
      <c r="A69" s="2">
        <v>1371.34</v>
      </c>
      <c r="B69" s="2">
        <v>5</v>
      </c>
      <c r="C69" s="18">
        <f t="shared" si="1"/>
        <v>0.05</v>
      </c>
      <c r="D69" s="2">
        <v>455.97</v>
      </c>
    </row>
    <row r="70" spans="1:4" ht="15" thickBot="1" x14ac:dyDescent="0.4">
      <c r="A70" s="18">
        <v>1020.26</v>
      </c>
      <c r="B70" s="18">
        <v>11</v>
      </c>
      <c r="C70" s="18">
        <f t="shared" si="1"/>
        <v>0.05</v>
      </c>
      <c r="D70" s="18">
        <v>242.31</v>
      </c>
    </row>
    <row r="71" spans="1:4" ht="15" thickBot="1" x14ac:dyDescent="0.4">
      <c r="A71" s="2">
        <v>804.81</v>
      </c>
      <c r="B71" s="2">
        <v>1</v>
      </c>
      <c r="C71" s="18">
        <f t="shared" si="1"/>
        <v>0.05</v>
      </c>
      <c r="D71" s="2">
        <v>344.06</v>
      </c>
    </row>
    <row r="72" spans="1:4" ht="15" thickBot="1" x14ac:dyDescent="0.4">
      <c r="A72" s="18">
        <v>608.66</v>
      </c>
      <c r="B72" s="18">
        <v>1</v>
      </c>
      <c r="C72" s="18">
        <f t="shared" si="1"/>
        <v>0.05</v>
      </c>
      <c r="D72" s="18">
        <v>144.56</v>
      </c>
    </row>
    <row r="73" spans="1:4" ht="15" thickBot="1" x14ac:dyDescent="0.4">
      <c r="A73" s="2">
        <v>981.2</v>
      </c>
      <c r="B73" s="2">
        <v>19</v>
      </c>
      <c r="C73" s="18">
        <f t="shared" si="1"/>
        <v>0.05</v>
      </c>
      <c r="D73" s="2">
        <v>441.54</v>
      </c>
    </row>
    <row r="74" spans="1:4" ht="15" thickBot="1" x14ac:dyDescent="0.4">
      <c r="A74" s="18">
        <v>539.77</v>
      </c>
      <c r="B74" s="18">
        <v>10</v>
      </c>
      <c r="C74" s="18">
        <f t="shared" si="1"/>
        <v>0.05</v>
      </c>
      <c r="D74" s="18">
        <v>114.7</v>
      </c>
    </row>
    <row r="75" spans="1:4" ht="15" thickBot="1" x14ac:dyDescent="0.4">
      <c r="A75" s="2">
        <v>804.45</v>
      </c>
      <c r="B75" s="2">
        <v>5</v>
      </c>
      <c r="C75" s="18">
        <f t="shared" si="1"/>
        <v>0.05</v>
      </c>
      <c r="D75" s="2">
        <v>257.42</v>
      </c>
    </row>
    <row r="76" spans="1:4" ht="15" thickBot="1" x14ac:dyDescent="0.4">
      <c r="A76" s="18">
        <v>1526.6</v>
      </c>
      <c r="B76" s="18">
        <v>13</v>
      </c>
      <c r="C76" s="18">
        <f t="shared" si="1"/>
        <v>0.05</v>
      </c>
      <c r="D76" s="18">
        <v>305.32</v>
      </c>
    </row>
    <row r="77" spans="1:4" ht="15" thickBot="1" x14ac:dyDescent="0.4">
      <c r="A77" s="2">
        <v>1215.26</v>
      </c>
      <c r="B77" s="2">
        <v>5</v>
      </c>
      <c r="C77" s="18">
        <f t="shared" si="1"/>
        <v>0.05</v>
      </c>
      <c r="D77" s="2">
        <v>258.24</v>
      </c>
    </row>
    <row r="78" spans="1:4" ht="15" thickBot="1" x14ac:dyDescent="0.4">
      <c r="A78" s="18">
        <v>1261.3399999999999</v>
      </c>
      <c r="B78" s="18">
        <v>3</v>
      </c>
      <c r="C78" s="18">
        <f t="shared" si="1"/>
        <v>0.05</v>
      </c>
      <c r="D78" s="18">
        <v>441.47</v>
      </c>
    </row>
    <row r="79" spans="1:4" ht="15" thickBot="1" x14ac:dyDescent="0.4">
      <c r="A79" s="2">
        <v>518.07000000000005</v>
      </c>
      <c r="B79" s="2">
        <v>7</v>
      </c>
      <c r="C79" s="18">
        <f t="shared" si="1"/>
        <v>0.05</v>
      </c>
      <c r="D79" s="2">
        <v>172.26</v>
      </c>
    </row>
    <row r="80" spans="1:4" ht="15" thickBot="1" x14ac:dyDescent="0.4">
      <c r="A80" s="18">
        <v>1111.3399999999999</v>
      </c>
      <c r="B80" s="18">
        <v>1</v>
      </c>
      <c r="C80" s="18">
        <f t="shared" si="1"/>
        <v>0.05</v>
      </c>
      <c r="D80" s="18">
        <v>500.1</v>
      </c>
    </row>
    <row r="81" spans="1:4" ht="15" thickBot="1" x14ac:dyDescent="0.4">
      <c r="A81" s="2">
        <v>1291.47</v>
      </c>
      <c r="B81" s="2">
        <v>18</v>
      </c>
      <c r="C81" s="18">
        <f t="shared" si="1"/>
        <v>0.05</v>
      </c>
      <c r="D81" s="2">
        <v>581.16</v>
      </c>
    </row>
    <row r="82" spans="1:4" ht="15" thickBot="1" x14ac:dyDescent="0.4">
      <c r="A82" s="18">
        <v>679.71</v>
      </c>
      <c r="B82" s="18">
        <v>19</v>
      </c>
      <c r="C82" s="18">
        <f t="shared" si="1"/>
        <v>0.05</v>
      </c>
      <c r="D82" s="18">
        <v>271.88</v>
      </c>
    </row>
    <row r="83" spans="1:4" ht="15" thickBot="1" x14ac:dyDescent="0.4">
      <c r="A83" s="2">
        <v>1143.69</v>
      </c>
      <c r="B83" s="2">
        <v>17</v>
      </c>
      <c r="C83" s="18">
        <f t="shared" si="1"/>
        <v>0.05</v>
      </c>
      <c r="D83" s="2">
        <v>400.29</v>
      </c>
    </row>
    <row r="84" spans="1:4" ht="15" thickBot="1" x14ac:dyDescent="0.4">
      <c r="A84" s="18">
        <v>790.08</v>
      </c>
      <c r="B84" s="18">
        <v>7</v>
      </c>
      <c r="C84" s="18">
        <f t="shared" si="1"/>
        <v>0.05</v>
      </c>
      <c r="D84" s="18">
        <v>177.77</v>
      </c>
    </row>
    <row r="85" spans="1:4" ht="15" thickBot="1" x14ac:dyDescent="0.4">
      <c r="A85" s="2">
        <v>1070.68</v>
      </c>
      <c r="B85" s="2">
        <v>7</v>
      </c>
      <c r="C85" s="18">
        <f t="shared" si="1"/>
        <v>0.05</v>
      </c>
      <c r="D85" s="2">
        <v>406.86</v>
      </c>
    </row>
    <row r="86" spans="1:4" ht="15" thickBot="1" x14ac:dyDescent="0.4">
      <c r="A86" s="18">
        <v>1168.8900000000001</v>
      </c>
      <c r="B86" s="18">
        <v>4</v>
      </c>
      <c r="C86" s="18">
        <f t="shared" si="1"/>
        <v>0.05</v>
      </c>
      <c r="D86" s="18">
        <v>526</v>
      </c>
    </row>
    <row r="87" spans="1:4" ht="15" thickBot="1" x14ac:dyDescent="0.4">
      <c r="A87" s="2">
        <v>1335.87</v>
      </c>
      <c r="B87" s="2">
        <v>17</v>
      </c>
      <c r="C87" s="18">
        <f t="shared" si="1"/>
        <v>0.05</v>
      </c>
      <c r="D87" s="2">
        <v>333.97</v>
      </c>
    </row>
    <row r="88" spans="1:4" ht="15" thickBot="1" x14ac:dyDescent="0.4">
      <c r="A88" s="18">
        <v>873.7</v>
      </c>
      <c r="B88" s="18">
        <v>9</v>
      </c>
      <c r="C88" s="18">
        <f t="shared" si="1"/>
        <v>0.05</v>
      </c>
      <c r="D88" s="18">
        <v>305.8</v>
      </c>
    </row>
    <row r="89" spans="1:4" ht="15" thickBot="1" x14ac:dyDescent="0.4">
      <c r="A89" s="2">
        <v>1443.98</v>
      </c>
      <c r="B89" s="2">
        <v>19</v>
      </c>
      <c r="C89" s="18">
        <f t="shared" si="1"/>
        <v>0.05</v>
      </c>
      <c r="D89" s="2">
        <v>649.79</v>
      </c>
    </row>
    <row r="90" spans="1:4" ht="15" thickBot="1" x14ac:dyDescent="0.4">
      <c r="A90" s="18">
        <v>1154.33</v>
      </c>
      <c r="B90" s="18">
        <v>11</v>
      </c>
      <c r="C90" s="18">
        <f t="shared" si="1"/>
        <v>0.05</v>
      </c>
      <c r="D90" s="18">
        <v>441.53</v>
      </c>
    </row>
    <row r="91" spans="1:4" ht="15" thickBot="1" x14ac:dyDescent="0.4">
      <c r="A91" s="2">
        <v>1264.49</v>
      </c>
      <c r="B91" s="2">
        <v>16</v>
      </c>
      <c r="C91" s="18">
        <f t="shared" si="1"/>
        <v>0.05</v>
      </c>
      <c r="D91" s="2">
        <v>480.51</v>
      </c>
    </row>
    <row r="92" spans="1:4" ht="15" thickBot="1" x14ac:dyDescent="0.4">
      <c r="A92" s="18">
        <v>1101.55</v>
      </c>
      <c r="B92" s="18">
        <v>4</v>
      </c>
      <c r="C92" s="18">
        <f t="shared" si="1"/>
        <v>0.05</v>
      </c>
      <c r="D92" s="18">
        <v>346.99</v>
      </c>
    </row>
    <row r="93" spans="1:4" ht="15" thickBot="1" x14ac:dyDescent="0.4">
      <c r="A93" s="2">
        <v>727.73</v>
      </c>
      <c r="B93" s="2">
        <v>1</v>
      </c>
      <c r="C93" s="18">
        <f t="shared" si="1"/>
        <v>0.05</v>
      </c>
      <c r="D93" s="2">
        <v>229.23</v>
      </c>
    </row>
    <row r="94" spans="1:4" ht="15" thickBot="1" x14ac:dyDescent="0.4">
      <c r="A94" s="18">
        <v>875.41</v>
      </c>
      <c r="B94" s="18">
        <v>13</v>
      </c>
      <c r="C94" s="18">
        <f t="shared" si="1"/>
        <v>0.05</v>
      </c>
      <c r="D94" s="18">
        <v>334.84</v>
      </c>
    </row>
    <row r="95" spans="1:4" ht="15" thickBot="1" x14ac:dyDescent="0.4">
      <c r="A95" s="2">
        <v>1158.94</v>
      </c>
      <c r="B95" s="2">
        <v>19</v>
      </c>
      <c r="C95" s="18">
        <f t="shared" si="1"/>
        <v>0.05</v>
      </c>
      <c r="D95" s="2">
        <v>231.79</v>
      </c>
    </row>
    <row r="96" spans="1:4" ht="15" thickBot="1" x14ac:dyDescent="0.4">
      <c r="A96" s="18">
        <v>966.3</v>
      </c>
      <c r="B96" s="18">
        <v>2</v>
      </c>
      <c r="C96" s="18">
        <f t="shared" si="1"/>
        <v>0.05</v>
      </c>
      <c r="D96" s="18">
        <v>328.54</v>
      </c>
    </row>
    <row r="97" spans="1:4" ht="15" thickBot="1" x14ac:dyDescent="0.4">
      <c r="A97" s="2">
        <v>917.48</v>
      </c>
      <c r="B97" s="2">
        <v>6</v>
      </c>
      <c r="C97" s="18">
        <f t="shared" si="1"/>
        <v>0.05</v>
      </c>
      <c r="D97" s="2">
        <v>366.99</v>
      </c>
    </row>
    <row r="98" spans="1:4" ht="15" thickBot="1" x14ac:dyDescent="0.4">
      <c r="A98" s="18">
        <v>1172.97</v>
      </c>
      <c r="B98" s="18">
        <v>7</v>
      </c>
      <c r="C98" s="18">
        <f t="shared" si="1"/>
        <v>0.05</v>
      </c>
      <c r="D98" s="18">
        <v>348.96</v>
      </c>
    </row>
    <row r="99" spans="1:4" ht="15" thickBot="1" x14ac:dyDescent="0.4">
      <c r="A99" s="2">
        <v>1205.82</v>
      </c>
      <c r="B99" s="2">
        <v>11</v>
      </c>
      <c r="C99" s="18">
        <f t="shared" si="1"/>
        <v>0.05</v>
      </c>
      <c r="D99" s="2">
        <v>542.62</v>
      </c>
    </row>
    <row r="100" spans="1:4" ht="15" thickBot="1" x14ac:dyDescent="0.4">
      <c r="A100" s="18">
        <v>826.93</v>
      </c>
      <c r="B100" s="18">
        <v>10</v>
      </c>
      <c r="C100" s="18">
        <f t="shared" si="1"/>
        <v>0.05</v>
      </c>
      <c r="D100" s="18">
        <v>297.69</v>
      </c>
    </row>
    <row r="101" spans="1:4" ht="15" thickBot="1" x14ac:dyDescent="0.4">
      <c r="A101" s="2">
        <v>902.19</v>
      </c>
      <c r="B101" s="2">
        <v>12</v>
      </c>
      <c r="C101" s="18">
        <f t="shared" si="1"/>
        <v>0.05</v>
      </c>
      <c r="D101" s="2">
        <v>451.1</v>
      </c>
    </row>
    <row r="102" spans="1:4" ht="15" thickBot="1" x14ac:dyDescent="0.4">
      <c r="A102" s="18">
        <v>585.97</v>
      </c>
      <c r="B102" s="18">
        <v>17</v>
      </c>
      <c r="C102" s="18">
        <f t="shared" si="1"/>
        <v>0.05</v>
      </c>
      <c r="D102" s="18">
        <v>210.95</v>
      </c>
    </row>
    <row r="103" spans="1:4" ht="15" thickBot="1" x14ac:dyDescent="0.4">
      <c r="A103" s="2">
        <v>990.19</v>
      </c>
      <c r="B103" s="2">
        <v>8</v>
      </c>
      <c r="C103" s="18">
        <f t="shared" si="1"/>
        <v>0.05</v>
      </c>
      <c r="D103" s="2">
        <v>445.59</v>
      </c>
    </row>
    <row r="104" spans="1:4" ht="15" thickBot="1" x14ac:dyDescent="0.4">
      <c r="A104" s="18">
        <v>1014.09</v>
      </c>
      <c r="B104" s="18">
        <v>13</v>
      </c>
      <c r="C104" s="18">
        <f t="shared" si="1"/>
        <v>0.05</v>
      </c>
      <c r="D104" s="18">
        <v>202.82</v>
      </c>
    </row>
    <row r="105" spans="1:4" ht="15" thickBot="1" x14ac:dyDescent="0.4">
      <c r="A105" s="2">
        <v>925.29</v>
      </c>
      <c r="B105" s="2">
        <v>17</v>
      </c>
      <c r="C105" s="18">
        <f t="shared" si="1"/>
        <v>0.05</v>
      </c>
      <c r="D105" s="2">
        <v>231.32</v>
      </c>
    </row>
    <row r="106" spans="1:4" ht="15" thickBot="1" x14ac:dyDescent="0.4">
      <c r="A106" s="18">
        <v>1286.54</v>
      </c>
      <c r="B106" s="18">
        <v>8</v>
      </c>
      <c r="C106" s="18">
        <f t="shared" si="1"/>
        <v>0.05</v>
      </c>
      <c r="D106" s="18">
        <v>450.29</v>
      </c>
    </row>
    <row r="107" spans="1:4" ht="15" thickBot="1" x14ac:dyDescent="0.4">
      <c r="A107" s="2">
        <v>961.62</v>
      </c>
      <c r="B107" s="2">
        <v>8</v>
      </c>
      <c r="C107" s="18">
        <f t="shared" si="1"/>
        <v>0.05</v>
      </c>
      <c r="D107" s="2">
        <v>307.72000000000003</v>
      </c>
    </row>
    <row r="108" spans="1:4" ht="15" thickBot="1" x14ac:dyDescent="0.4">
      <c r="A108" s="18">
        <v>1081.1400000000001</v>
      </c>
      <c r="B108" s="18">
        <v>19</v>
      </c>
      <c r="C108" s="18">
        <f t="shared" si="1"/>
        <v>0.05</v>
      </c>
      <c r="D108" s="18">
        <v>367.59</v>
      </c>
    </row>
    <row r="109" spans="1:4" ht="15" thickBot="1" x14ac:dyDescent="0.4">
      <c r="A109" s="2">
        <v>1923.66</v>
      </c>
      <c r="B109" s="2">
        <v>9</v>
      </c>
      <c r="C109" s="18">
        <f t="shared" si="1"/>
        <v>0.05</v>
      </c>
      <c r="D109" s="2">
        <v>769.46</v>
      </c>
    </row>
    <row r="110" spans="1:4" ht="15" thickBot="1" x14ac:dyDescent="0.4">
      <c r="A110" s="18">
        <v>728.71</v>
      </c>
      <c r="B110" s="18">
        <v>14</v>
      </c>
      <c r="C110" s="18">
        <f t="shared" si="1"/>
        <v>0.05</v>
      </c>
      <c r="D110" s="18">
        <v>327.92</v>
      </c>
    </row>
    <row r="111" spans="1:4" ht="15" thickBot="1" x14ac:dyDescent="0.4">
      <c r="A111" s="2">
        <v>1301.8900000000001</v>
      </c>
      <c r="B111" s="2">
        <v>7</v>
      </c>
      <c r="C111" s="18">
        <f t="shared" si="1"/>
        <v>0.05</v>
      </c>
      <c r="D111" s="2">
        <v>553.29999999999995</v>
      </c>
    </row>
    <row r="112" spans="1:4" ht="15" thickBot="1" x14ac:dyDescent="0.4">
      <c r="A112" s="18">
        <v>980.18</v>
      </c>
      <c r="B112" s="18">
        <v>16</v>
      </c>
      <c r="C112" s="18">
        <f t="shared" si="1"/>
        <v>0.05</v>
      </c>
      <c r="D112" s="18">
        <v>352.86</v>
      </c>
    </row>
    <row r="113" spans="1:4" ht="15" thickBot="1" x14ac:dyDescent="0.4">
      <c r="A113" s="2">
        <v>697.57</v>
      </c>
      <c r="B113" s="2">
        <v>17</v>
      </c>
      <c r="C113" s="18">
        <f t="shared" si="1"/>
        <v>0.05</v>
      </c>
      <c r="D113" s="2">
        <v>313.91000000000003</v>
      </c>
    </row>
    <row r="114" spans="1:4" ht="15" thickBot="1" x14ac:dyDescent="0.4">
      <c r="A114" s="18">
        <v>1193.6099999999999</v>
      </c>
      <c r="B114" s="18">
        <v>1</v>
      </c>
      <c r="C114" s="18">
        <f t="shared" si="1"/>
        <v>0.05</v>
      </c>
      <c r="D114" s="18">
        <v>355.1</v>
      </c>
    </row>
    <row r="115" spans="1:4" ht="15" thickBot="1" x14ac:dyDescent="0.4">
      <c r="A115" s="2">
        <v>771.02</v>
      </c>
      <c r="B115" s="2">
        <v>1</v>
      </c>
      <c r="C115" s="18">
        <f t="shared" si="1"/>
        <v>0.05</v>
      </c>
      <c r="D115" s="2">
        <v>192.76</v>
      </c>
    </row>
    <row r="116" spans="1:4" ht="15" thickBot="1" x14ac:dyDescent="0.4">
      <c r="A116" s="18">
        <v>661.09</v>
      </c>
      <c r="B116" s="18">
        <v>1</v>
      </c>
      <c r="C116" s="18">
        <f t="shared" si="1"/>
        <v>0.05</v>
      </c>
      <c r="D116" s="18">
        <v>264.44</v>
      </c>
    </row>
    <row r="117" spans="1:4" ht="15" thickBot="1" x14ac:dyDescent="0.4">
      <c r="A117" s="2">
        <v>688.83</v>
      </c>
      <c r="B117" s="2">
        <v>15</v>
      </c>
      <c r="C117" s="18">
        <f t="shared" si="1"/>
        <v>0.05</v>
      </c>
      <c r="D117" s="2">
        <v>172.21</v>
      </c>
    </row>
    <row r="118" spans="1:4" ht="15" thickBot="1" x14ac:dyDescent="0.4">
      <c r="A118" s="18">
        <v>1249.0999999999999</v>
      </c>
      <c r="B118" s="18">
        <v>4</v>
      </c>
      <c r="C118" s="18">
        <f t="shared" si="1"/>
        <v>0.05</v>
      </c>
      <c r="D118" s="18">
        <v>474.66</v>
      </c>
    </row>
    <row r="119" spans="1:4" ht="15" thickBot="1" x14ac:dyDescent="0.4">
      <c r="A119" s="2">
        <v>1014.22</v>
      </c>
      <c r="B119" s="2">
        <v>14</v>
      </c>
      <c r="C119" s="18">
        <f t="shared" si="1"/>
        <v>0.05</v>
      </c>
      <c r="D119" s="2">
        <v>433.58</v>
      </c>
    </row>
    <row r="120" spans="1:4" ht="15" thickBot="1" x14ac:dyDescent="0.4">
      <c r="A120" s="18">
        <v>1010.58</v>
      </c>
      <c r="B120" s="18">
        <v>2</v>
      </c>
      <c r="C120" s="18">
        <f t="shared" si="1"/>
        <v>0.05</v>
      </c>
      <c r="D120" s="18">
        <v>343.6</v>
      </c>
    </row>
    <row r="121" spans="1:4" ht="15" thickBot="1" x14ac:dyDescent="0.4">
      <c r="A121" s="2">
        <v>957.29</v>
      </c>
      <c r="B121" s="2">
        <v>4</v>
      </c>
      <c r="C121" s="18">
        <f t="shared" si="1"/>
        <v>0.05</v>
      </c>
      <c r="D121" s="2">
        <v>318.3</v>
      </c>
    </row>
    <row r="122" spans="1:4" ht="15" thickBot="1" x14ac:dyDescent="0.4">
      <c r="A122" s="18">
        <v>1077.92</v>
      </c>
      <c r="B122" s="18">
        <v>3</v>
      </c>
      <c r="C122" s="18">
        <f t="shared" si="1"/>
        <v>0.05</v>
      </c>
      <c r="D122" s="18">
        <v>358.41</v>
      </c>
    </row>
    <row r="123" spans="1:4" ht="15" thickBot="1" x14ac:dyDescent="0.4">
      <c r="A123" s="2">
        <v>1163.01</v>
      </c>
      <c r="B123" s="2">
        <v>5</v>
      </c>
      <c r="C123" s="18">
        <f t="shared" si="1"/>
        <v>0.05</v>
      </c>
      <c r="D123" s="2">
        <v>581.5</v>
      </c>
    </row>
    <row r="124" spans="1:4" ht="15" thickBot="1" x14ac:dyDescent="0.4">
      <c r="A124" s="18">
        <v>1014.56</v>
      </c>
      <c r="B124" s="18">
        <v>10</v>
      </c>
      <c r="C124" s="18">
        <f t="shared" si="1"/>
        <v>0.05</v>
      </c>
      <c r="D124" s="18">
        <v>410.9</v>
      </c>
    </row>
    <row r="125" spans="1:4" ht="15" thickBot="1" x14ac:dyDescent="0.4">
      <c r="A125" s="2">
        <v>718.04</v>
      </c>
      <c r="B125" s="2">
        <v>14</v>
      </c>
      <c r="C125" s="18">
        <f t="shared" si="1"/>
        <v>0.05</v>
      </c>
      <c r="D125" s="2">
        <v>179.51</v>
      </c>
    </row>
    <row r="126" spans="1:4" ht="15" thickBot="1" x14ac:dyDescent="0.4">
      <c r="A126" s="18">
        <v>1277.8499999999999</v>
      </c>
      <c r="B126" s="18">
        <v>18</v>
      </c>
      <c r="C126" s="18">
        <f t="shared" si="1"/>
        <v>0.05</v>
      </c>
      <c r="D126" s="18">
        <v>511.14</v>
      </c>
    </row>
    <row r="127" spans="1:4" ht="15" thickBot="1" x14ac:dyDescent="0.4">
      <c r="A127" s="2">
        <v>706.73</v>
      </c>
      <c r="B127" s="2">
        <v>1</v>
      </c>
      <c r="C127" s="18">
        <f t="shared" si="1"/>
        <v>0.05</v>
      </c>
      <c r="D127" s="2">
        <v>150.18</v>
      </c>
    </row>
    <row r="128" spans="1:4" ht="15" thickBot="1" x14ac:dyDescent="0.4">
      <c r="A128" s="18">
        <v>1410.59</v>
      </c>
      <c r="B128" s="18">
        <v>15</v>
      </c>
      <c r="C128" s="18">
        <f t="shared" si="1"/>
        <v>0.05</v>
      </c>
      <c r="D128" s="18">
        <v>352.65</v>
      </c>
    </row>
    <row r="129" spans="1:4" ht="15" thickBot="1" x14ac:dyDescent="0.4">
      <c r="A129" s="2">
        <v>1350.33</v>
      </c>
      <c r="B129" s="2">
        <v>10</v>
      </c>
      <c r="C129" s="18">
        <f t="shared" si="1"/>
        <v>0.05</v>
      </c>
      <c r="D129" s="2">
        <v>472.62</v>
      </c>
    </row>
    <row r="130" spans="1:4" ht="15" thickBot="1" x14ac:dyDescent="0.4">
      <c r="A130" s="18">
        <v>919.18</v>
      </c>
      <c r="B130" s="18">
        <v>4</v>
      </c>
      <c r="C130" s="18">
        <f t="shared" si="1"/>
        <v>0.05</v>
      </c>
      <c r="D130" s="18">
        <v>195.33</v>
      </c>
    </row>
    <row r="131" spans="1:4" ht="15" thickBot="1" x14ac:dyDescent="0.4">
      <c r="A131" s="2">
        <v>258.51</v>
      </c>
      <c r="B131" s="2">
        <v>19</v>
      </c>
      <c r="C131" s="18">
        <f t="shared" ref="C131:C194" si="2">$F$2</f>
        <v>0.05</v>
      </c>
      <c r="D131" s="2">
        <v>64.63</v>
      </c>
    </row>
    <row r="132" spans="1:4" ht="15" thickBot="1" x14ac:dyDescent="0.4">
      <c r="A132" s="18">
        <v>1213.48</v>
      </c>
      <c r="B132" s="18">
        <v>5</v>
      </c>
      <c r="C132" s="18">
        <f t="shared" si="2"/>
        <v>0.05</v>
      </c>
      <c r="D132" s="18">
        <v>461.12</v>
      </c>
    </row>
    <row r="133" spans="1:4" ht="15" thickBot="1" x14ac:dyDescent="0.4">
      <c r="A133" s="2">
        <v>1150.28</v>
      </c>
      <c r="B133" s="2">
        <v>8</v>
      </c>
      <c r="C133" s="18">
        <f t="shared" si="2"/>
        <v>0.05</v>
      </c>
      <c r="D133" s="2">
        <v>437.11</v>
      </c>
    </row>
    <row r="134" spans="1:4" ht="15" thickBot="1" x14ac:dyDescent="0.4">
      <c r="A134" s="18">
        <v>853.86</v>
      </c>
      <c r="B134" s="18">
        <v>8</v>
      </c>
      <c r="C134" s="18">
        <f t="shared" si="2"/>
        <v>0.05</v>
      </c>
      <c r="D134" s="18">
        <v>268.97000000000003</v>
      </c>
    </row>
    <row r="135" spans="1:4" ht="15" thickBot="1" x14ac:dyDescent="0.4">
      <c r="A135" s="2">
        <v>1061.04</v>
      </c>
      <c r="B135" s="2">
        <v>1</v>
      </c>
      <c r="C135" s="18">
        <f t="shared" si="2"/>
        <v>0.05</v>
      </c>
      <c r="D135" s="2">
        <v>265.26</v>
      </c>
    </row>
    <row r="136" spans="1:4" ht="15" thickBot="1" x14ac:dyDescent="0.4">
      <c r="A136" s="18">
        <v>894.55</v>
      </c>
      <c r="B136" s="18">
        <v>19</v>
      </c>
      <c r="C136" s="18">
        <f t="shared" si="2"/>
        <v>0.05</v>
      </c>
      <c r="D136" s="18">
        <v>178.91</v>
      </c>
    </row>
    <row r="137" spans="1:4" ht="15" thickBot="1" x14ac:dyDescent="0.4">
      <c r="A137" s="2">
        <v>833.91</v>
      </c>
      <c r="B137" s="2">
        <v>3</v>
      </c>
      <c r="C137" s="18">
        <f t="shared" si="2"/>
        <v>0.05</v>
      </c>
      <c r="D137" s="2">
        <v>356.5</v>
      </c>
    </row>
    <row r="138" spans="1:4" ht="15" thickBot="1" x14ac:dyDescent="0.4">
      <c r="A138" s="18">
        <v>820.19</v>
      </c>
      <c r="B138" s="18">
        <v>4</v>
      </c>
      <c r="C138" s="18">
        <f t="shared" si="2"/>
        <v>0.05</v>
      </c>
      <c r="D138" s="18">
        <v>229.65</v>
      </c>
    </row>
    <row r="139" spans="1:4" ht="15" thickBot="1" x14ac:dyDescent="0.4">
      <c r="A139" s="2">
        <v>511.74</v>
      </c>
      <c r="B139" s="2">
        <v>8</v>
      </c>
      <c r="C139" s="18">
        <f t="shared" si="2"/>
        <v>0.05</v>
      </c>
      <c r="D139" s="2">
        <v>121.54</v>
      </c>
    </row>
    <row r="140" spans="1:4" ht="15" thickBot="1" x14ac:dyDescent="0.4">
      <c r="A140" s="18">
        <v>806.03</v>
      </c>
      <c r="B140" s="18">
        <v>19</v>
      </c>
      <c r="C140" s="18">
        <f t="shared" si="2"/>
        <v>0.05</v>
      </c>
      <c r="D140" s="18">
        <v>268</v>
      </c>
    </row>
    <row r="141" spans="1:4" ht="15" thickBot="1" x14ac:dyDescent="0.4">
      <c r="A141" s="2">
        <v>1432.47</v>
      </c>
      <c r="B141" s="2">
        <v>16</v>
      </c>
      <c r="C141" s="18">
        <f t="shared" si="2"/>
        <v>0.05</v>
      </c>
      <c r="D141" s="2">
        <v>426.16</v>
      </c>
    </row>
    <row r="142" spans="1:4" ht="15" thickBot="1" x14ac:dyDescent="0.4">
      <c r="A142" s="18">
        <v>1488.58</v>
      </c>
      <c r="B142" s="18">
        <v>10</v>
      </c>
      <c r="C142" s="18">
        <f t="shared" si="2"/>
        <v>0.05</v>
      </c>
      <c r="D142" s="18">
        <v>316.32</v>
      </c>
    </row>
    <row r="143" spans="1:4" ht="15" thickBot="1" x14ac:dyDescent="0.4">
      <c r="A143" s="2">
        <v>1231.26</v>
      </c>
      <c r="B143" s="2">
        <v>9</v>
      </c>
      <c r="C143" s="18">
        <f t="shared" si="2"/>
        <v>0.05</v>
      </c>
      <c r="D143" s="2">
        <v>492.5</v>
      </c>
    </row>
    <row r="144" spans="1:4" ht="15" thickBot="1" x14ac:dyDescent="0.4">
      <c r="A144" s="18">
        <v>1161.67</v>
      </c>
      <c r="B144" s="18">
        <v>19</v>
      </c>
      <c r="C144" s="18">
        <f t="shared" si="2"/>
        <v>0.05</v>
      </c>
      <c r="D144" s="18">
        <v>232.33</v>
      </c>
    </row>
    <row r="145" spans="1:4" ht="15" thickBot="1" x14ac:dyDescent="0.4">
      <c r="A145" s="2">
        <v>388.23</v>
      </c>
      <c r="B145" s="2">
        <v>16</v>
      </c>
      <c r="C145" s="18">
        <f t="shared" si="2"/>
        <v>0.05</v>
      </c>
      <c r="D145" s="2">
        <v>165.97</v>
      </c>
    </row>
    <row r="146" spans="1:4" ht="15" thickBot="1" x14ac:dyDescent="0.4">
      <c r="A146" s="18">
        <v>1589.42</v>
      </c>
      <c r="B146" s="18">
        <v>6</v>
      </c>
      <c r="C146" s="18">
        <f t="shared" si="2"/>
        <v>0.05</v>
      </c>
      <c r="D146" s="18">
        <v>675.5</v>
      </c>
    </row>
    <row r="147" spans="1:4" ht="15" thickBot="1" x14ac:dyDescent="0.4">
      <c r="A147" s="2">
        <v>336.66</v>
      </c>
      <c r="B147" s="2">
        <v>13</v>
      </c>
      <c r="C147" s="18">
        <f t="shared" si="2"/>
        <v>0.05</v>
      </c>
      <c r="D147" s="2">
        <v>134.66</v>
      </c>
    </row>
    <row r="148" spans="1:4" ht="15" thickBot="1" x14ac:dyDescent="0.4">
      <c r="A148" s="18">
        <v>1353.79</v>
      </c>
      <c r="B148" s="18">
        <v>14</v>
      </c>
      <c r="C148" s="18">
        <f t="shared" si="2"/>
        <v>0.05</v>
      </c>
      <c r="D148" s="18">
        <v>487.36</v>
      </c>
    </row>
    <row r="149" spans="1:4" ht="15" thickBot="1" x14ac:dyDescent="0.4">
      <c r="A149" s="2">
        <v>662.61</v>
      </c>
      <c r="B149" s="2">
        <v>11</v>
      </c>
      <c r="C149" s="18">
        <f t="shared" si="2"/>
        <v>0.05</v>
      </c>
      <c r="D149" s="2">
        <v>314.74</v>
      </c>
    </row>
    <row r="150" spans="1:4" ht="15" thickBot="1" x14ac:dyDescent="0.4">
      <c r="A150" s="18">
        <v>309.42</v>
      </c>
      <c r="B150" s="18">
        <v>1</v>
      </c>
      <c r="C150" s="18">
        <f t="shared" si="2"/>
        <v>0.05</v>
      </c>
      <c r="D150" s="18">
        <v>111.39</v>
      </c>
    </row>
    <row r="151" spans="1:4" ht="15" thickBot="1" x14ac:dyDescent="0.4">
      <c r="A151" s="2">
        <v>884.63</v>
      </c>
      <c r="B151" s="2">
        <v>18</v>
      </c>
      <c r="C151" s="18">
        <f t="shared" si="2"/>
        <v>0.05</v>
      </c>
      <c r="D151" s="2">
        <v>318.47000000000003</v>
      </c>
    </row>
    <row r="152" spans="1:4" ht="15" thickBot="1" x14ac:dyDescent="0.4">
      <c r="A152" s="18">
        <v>745.05</v>
      </c>
      <c r="B152" s="18">
        <v>10</v>
      </c>
      <c r="C152" s="18">
        <f t="shared" si="2"/>
        <v>0.05</v>
      </c>
      <c r="D152" s="18">
        <v>301.75</v>
      </c>
    </row>
    <row r="153" spans="1:4" ht="15" thickBot="1" x14ac:dyDescent="0.4">
      <c r="A153" s="2">
        <v>870.23</v>
      </c>
      <c r="B153" s="2">
        <v>5</v>
      </c>
      <c r="C153" s="18">
        <f t="shared" si="2"/>
        <v>0.05</v>
      </c>
      <c r="D153" s="2">
        <v>413.36</v>
      </c>
    </row>
    <row r="154" spans="1:4" ht="15" thickBot="1" x14ac:dyDescent="0.4">
      <c r="A154" s="18">
        <v>862.19</v>
      </c>
      <c r="B154" s="18">
        <v>18</v>
      </c>
      <c r="C154" s="18">
        <f t="shared" si="2"/>
        <v>0.05</v>
      </c>
      <c r="D154" s="18">
        <v>286.68</v>
      </c>
    </row>
    <row r="155" spans="1:4" ht="15" thickBot="1" x14ac:dyDescent="0.4">
      <c r="A155" s="2">
        <v>1171.18</v>
      </c>
      <c r="B155" s="2">
        <v>19</v>
      </c>
      <c r="C155" s="18">
        <f t="shared" si="2"/>
        <v>0.05</v>
      </c>
      <c r="D155" s="2">
        <v>556.30999999999995</v>
      </c>
    </row>
    <row r="156" spans="1:4" ht="15" thickBot="1" x14ac:dyDescent="0.4">
      <c r="A156" s="18">
        <v>1054.56</v>
      </c>
      <c r="B156" s="18">
        <v>11</v>
      </c>
      <c r="C156" s="18">
        <f t="shared" si="2"/>
        <v>0.05</v>
      </c>
      <c r="D156" s="18">
        <v>332.19</v>
      </c>
    </row>
    <row r="157" spans="1:4" ht="15" thickBot="1" x14ac:dyDescent="0.4">
      <c r="A157" s="2">
        <v>1681.21</v>
      </c>
      <c r="B157" s="2">
        <v>5</v>
      </c>
      <c r="C157" s="18">
        <f t="shared" si="2"/>
        <v>0.05</v>
      </c>
      <c r="D157" s="2">
        <v>336.24</v>
      </c>
    </row>
    <row r="158" spans="1:4" ht="15" thickBot="1" x14ac:dyDescent="0.4">
      <c r="A158" s="18">
        <v>379.77</v>
      </c>
      <c r="B158" s="18">
        <v>9</v>
      </c>
      <c r="C158" s="18">
        <f t="shared" si="2"/>
        <v>0.05</v>
      </c>
      <c r="D158" s="18">
        <v>180.39</v>
      </c>
    </row>
    <row r="159" spans="1:4" ht="15" thickBot="1" x14ac:dyDescent="0.4">
      <c r="A159" s="2">
        <v>1076.33</v>
      </c>
      <c r="B159" s="2">
        <v>2</v>
      </c>
      <c r="C159" s="18">
        <f t="shared" si="2"/>
        <v>0.05</v>
      </c>
      <c r="D159" s="2">
        <v>484.35</v>
      </c>
    </row>
    <row r="160" spans="1:4" ht="15" thickBot="1" x14ac:dyDescent="0.4">
      <c r="A160" s="18">
        <v>1250.71</v>
      </c>
      <c r="B160" s="18">
        <v>7</v>
      </c>
      <c r="C160" s="18">
        <f t="shared" si="2"/>
        <v>0.05</v>
      </c>
      <c r="D160" s="18">
        <v>562.82000000000005</v>
      </c>
    </row>
    <row r="161" spans="1:4" ht="15" thickBot="1" x14ac:dyDescent="0.4">
      <c r="A161" s="2">
        <v>1118.3399999999999</v>
      </c>
      <c r="B161" s="2">
        <v>6</v>
      </c>
      <c r="C161" s="18">
        <f t="shared" si="2"/>
        <v>0.05</v>
      </c>
      <c r="D161" s="2">
        <v>447.34</v>
      </c>
    </row>
    <row r="162" spans="1:4" ht="15" thickBot="1" x14ac:dyDescent="0.4">
      <c r="A162" s="18">
        <v>1622.62</v>
      </c>
      <c r="B162" s="18">
        <v>12</v>
      </c>
      <c r="C162" s="18">
        <f t="shared" si="2"/>
        <v>0.05</v>
      </c>
      <c r="D162" s="18">
        <v>649.04999999999995</v>
      </c>
    </row>
    <row r="163" spans="1:4" ht="15" thickBot="1" x14ac:dyDescent="0.4">
      <c r="A163" s="2">
        <v>640.64</v>
      </c>
      <c r="B163" s="2">
        <v>11</v>
      </c>
      <c r="C163" s="18">
        <f t="shared" si="2"/>
        <v>0.05</v>
      </c>
      <c r="D163" s="2">
        <v>205</v>
      </c>
    </row>
    <row r="164" spans="1:4" ht="15" thickBot="1" x14ac:dyDescent="0.4">
      <c r="A164" s="18">
        <v>585.16</v>
      </c>
      <c r="B164" s="18">
        <v>17</v>
      </c>
      <c r="C164" s="18">
        <f t="shared" si="2"/>
        <v>0.05</v>
      </c>
      <c r="D164" s="18">
        <v>263.32</v>
      </c>
    </row>
    <row r="165" spans="1:4" ht="15" thickBot="1" x14ac:dyDescent="0.4">
      <c r="A165" s="2">
        <v>1109.98</v>
      </c>
      <c r="B165" s="2">
        <v>5</v>
      </c>
      <c r="C165" s="18">
        <f t="shared" si="2"/>
        <v>0.05</v>
      </c>
      <c r="D165" s="2">
        <v>443.99</v>
      </c>
    </row>
    <row r="166" spans="1:4" ht="15" thickBot="1" x14ac:dyDescent="0.4">
      <c r="A166" s="18">
        <v>1098.08</v>
      </c>
      <c r="B166" s="18">
        <v>9</v>
      </c>
      <c r="C166" s="18">
        <f t="shared" si="2"/>
        <v>0.05</v>
      </c>
      <c r="D166" s="18">
        <v>395.31</v>
      </c>
    </row>
    <row r="167" spans="1:4" ht="15" thickBot="1" x14ac:dyDescent="0.4">
      <c r="A167" s="2">
        <v>827.25</v>
      </c>
      <c r="B167" s="2">
        <v>7</v>
      </c>
      <c r="C167" s="18">
        <f t="shared" si="2"/>
        <v>0.05</v>
      </c>
      <c r="D167" s="2">
        <v>335.04</v>
      </c>
    </row>
    <row r="168" spans="1:4" ht="15" thickBot="1" x14ac:dyDescent="0.4">
      <c r="A168" s="18">
        <v>741.88</v>
      </c>
      <c r="B168" s="18">
        <v>16</v>
      </c>
      <c r="C168" s="18">
        <f t="shared" si="2"/>
        <v>0.05</v>
      </c>
      <c r="D168" s="18">
        <v>333.85</v>
      </c>
    </row>
    <row r="169" spans="1:4" ht="15" thickBot="1" x14ac:dyDescent="0.4">
      <c r="A169" s="2">
        <v>1311.26</v>
      </c>
      <c r="B169" s="2">
        <v>6</v>
      </c>
      <c r="C169" s="18">
        <f t="shared" si="2"/>
        <v>0.05</v>
      </c>
      <c r="D169" s="2">
        <v>531.05999999999995</v>
      </c>
    </row>
    <row r="170" spans="1:4" ht="15" thickBot="1" x14ac:dyDescent="0.4">
      <c r="A170" s="18">
        <v>573.32000000000005</v>
      </c>
      <c r="B170" s="18">
        <v>19</v>
      </c>
      <c r="C170" s="18">
        <f t="shared" si="2"/>
        <v>0.05</v>
      </c>
      <c r="D170" s="18">
        <v>232.19</v>
      </c>
    </row>
    <row r="171" spans="1:4" ht="15" thickBot="1" x14ac:dyDescent="0.4">
      <c r="A171" s="2">
        <v>1115.22</v>
      </c>
      <c r="B171" s="2">
        <v>14</v>
      </c>
      <c r="C171" s="18">
        <f t="shared" si="2"/>
        <v>0.05</v>
      </c>
      <c r="D171" s="2">
        <v>223.04</v>
      </c>
    </row>
    <row r="172" spans="1:4" ht="15" thickBot="1" x14ac:dyDescent="0.4">
      <c r="A172" s="18">
        <v>845.84</v>
      </c>
      <c r="B172" s="18">
        <v>4</v>
      </c>
      <c r="C172" s="18">
        <f t="shared" si="2"/>
        <v>0.05</v>
      </c>
      <c r="D172" s="18">
        <v>422.92</v>
      </c>
    </row>
    <row r="173" spans="1:4" ht="15" thickBot="1" x14ac:dyDescent="0.4">
      <c r="A173" s="2">
        <v>1029.8</v>
      </c>
      <c r="B173" s="2">
        <v>3</v>
      </c>
      <c r="C173" s="18">
        <f t="shared" si="2"/>
        <v>0.05</v>
      </c>
      <c r="D173" s="2">
        <v>257.45</v>
      </c>
    </row>
    <row r="174" spans="1:4" ht="15" thickBot="1" x14ac:dyDescent="0.4">
      <c r="A174" s="18">
        <v>1189.83</v>
      </c>
      <c r="B174" s="18">
        <v>2</v>
      </c>
      <c r="C174" s="18">
        <f t="shared" si="2"/>
        <v>0.05</v>
      </c>
      <c r="D174" s="18">
        <v>380.75</v>
      </c>
    </row>
    <row r="175" spans="1:4" ht="15" thickBot="1" x14ac:dyDescent="0.4">
      <c r="A175" s="2">
        <v>704.28</v>
      </c>
      <c r="B175" s="2">
        <v>15</v>
      </c>
      <c r="C175" s="18">
        <f t="shared" si="2"/>
        <v>0.05</v>
      </c>
      <c r="D175" s="2">
        <v>225.37</v>
      </c>
    </row>
    <row r="176" spans="1:4" ht="15" thickBot="1" x14ac:dyDescent="0.4">
      <c r="A176" s="18">
        <v>1618.22</v>
      </c>
      <c r="B176" s="18">
        <v>12</v>
      </c>
      <c r="C176" s="18">
        <f t="shared" si="2"/>
        <v>0.05</v>
      </c>
      <c r="D176" s="18">
        <v>582.55999999999995</v>
      </c>
    </row>
    <row r="177" spans="1:4" ht="15" thickBot="1" x14ac:dyDescent="0.4">
      <c r="A177" s="2">
        <v>1014.43</v>
      </c>
      <c r="B177" s="2">
        <v>2</v>
      </c>
      <c r="C177" s="18">
        <f t="shared" si="2"/>
        <v>0.05</v>
      </c>
      <c r="D177" s="2">
        <v>344.91</v>
      </c>
    </row>
    <row r="178" spans="1:4" ht="15" thickBot="1" x14ac:dyDescent="0.4">
      <c r="A178" s="18">
        <v>826.97</v>
      </c>
      <c r="B178" s="18">
        <v>18</v>
      </c>
      <c r="C178" s="18">
        <f t="shared" si="2"/>
        <v>0.05</v>
      </c>
      <c r="D178" s="18">
        <v>330.79</v>
      </c>
    </row>
    <row r="179" spans="1:4" ht="15" thickBot="1" x14ac:dyDescent="0.4">
      <c r="A179" s="2">
        <v>1022.23</v>
      </c>
      <c r="B179" s="2">
        <v>8</v>
      </c>
      <c r="C179" s="18">
        <f t="shared" si="2"/>
        <v>0.05</v>
      </c>
      <c r="D179" s="2">
        <v>460</v>
      </c>
    </row>
    <row r="180" spans="1:4" ht="15" thickBot="1" x14ac:dyDescent="0.4">
      <c r="A180" s="18">
        <v>1099.69</v>
      </c>
      <c r="B180" s="18">
        <v>6</v>
      </c>
      <c r="C180" s="18">
        <f t="shared" si="2"/>
        <v>0.05</v>
      </c>
      <c r="D180" s="18">
        <v>439.88</v>
      </c>
    </row>
    <row r="181" spans="1:4" ht="15" thickBot="1" x14ac:dyDescent="0.4">
      <c r="A181" s="2">
        <v>710.52</v>
      </c>
      <c r="B181" s="2">
        <v>8</v>
      </c>
      <c r="C181" s="18">
        <f t="shared" si="2"/>
        <v>0.05</v>
      </c>
      <c r="D181" s="2">
        <v>255.79</v>
      </c>
    </row>
    <row r="182" spans="1:4" ht="15" thickBot="1" x14ac:dyDescent="0.4">
      <c r="A182" s="18">
        <v>499.18</v>
      </c>
      <c r="B182" s="18">
        <v>15</v>
      </c>
      <c r="C182" s="18">
        <f t="shared" si="2"/>
        <v>0.05</v>
      </c>
      <c r="D182" s="18">
        <v>159.74</v>
      </c>
    </row>
    <row r="183" spans="1:4" ht="15" thickBot="1" x14ac:dyDescent="0.4">
      <c r="A183" s="2">
        <v>1064.19</v>
      </c>
      <c r="B183" s="2">
        <v>18</v>
      </c>
      <c r="C183" s="18">
        <f t="shared" si="2"/>
        <v>0.05</v>
      </c>
      <c r="D183" s="2">
        <v>404.39</v>
      </c>
    </row>
    <row r="184" spans="1:4" ht="15" thickBot="1" x14ac:dyDescent="0.4">
      <c r="A184" s="18">
        <v>438.76</v>
      </c>
      <c r="B184" s="18">
        <v>18</v>
      </c>
      <c r="C184" s="18">
        <f t="shared" si="2"/>
        <v>0.05</v>
      </c>
      <c r="D184" s="18">
        <v>187.57</v>
      </c>
    </row>
    <row r="185" spans="1:4" ht="15" thickBot="1" x14ac:dyDescent="0.4">
      <c r="A185" s="2">
        <v>864.98</v>
      </c>
      <c r="B185" s="2">
        <v>2</v>
      </c>
      <c r="C185" s="18">
        <f t="shared" si="2"/>
        <v>0.05</v>
      </c>
      <c r="D185" s="2">
        <v>410.87</v>
      </c>
    </row>
    <row r="186" spans="1:4" ht="15" thickBot="1" x14ac:dyDescent="0.4">
      <c r="A186" s="18">
        <v>984.93</v>
      </c>
      <c r="B186" s="18">
        <v>14</v>
      </c>
      <c r="C186" s="18">
        <f t="shared" si="2"/>
        <v>0.05</v>
      </c>
      <c r="D186" s="18">
        <v>275.77999999999997</v>
      </c>
    </row>
    <row r="187" spans="1:4" ht="15" thickBot="1" x14ac:dyDescent="0.4">
      <c r="A187" s="2">
        <v>1493.49</v>
      </c>
      <c r="B187" s="2">
        <v>18</v>
      </c>
      <c r="C187" s="18">
        <f t="shared" si="2"/>
        <v>0.05</v>
      </c>
      <c r="D187" s="2">
        <v>746.74</v>
      </c>
    </row>
    <row r="188" spans="1:4" ht="15" thickBot="1" x14ac:dyDescent="0.4">
      <c r="A188" s="18">
        <v>689.43</v>
      </c>
      <c r="B188" s="18">
        <v>9</v>
      </c>
      <c r="C188" s="18">
        <f t="shared" si="2"/>
        <v>0.05</v>
      </c>
      <c r="D188" s="18">
        <v>310.24</v>
      </c>
    </row>
    <row r="189" spans="1:4" ht="15" thickBot="1" x14ac:dyDescent="0.4">
      <c r="A189" s="2">
        <v>682.24</v>
      </c>
      <c r="B189" s="2">
        <v>1</v>
      </c>
      <c r="C189" s="18">
        <f t="shared" si="2"/>
        <v>0.05</v>
      </c>
      <c r="D189" s="2">
        <v>341.12</v>
      </c>
    </row>
    <row r="190" spans="1:4" ht="15" thickBot="1" x14ac:dyDescent="0.4">
      <c r="A190" s="18">
        <v>458.54</v>
      </c>
      <c r="B190" s="18">
        <v>15</v>
      </c>
      <c r="C190" s="18">
        <f t="shared" si="2"/>
        <v>0.05</v>
      </c>
      <c r="D190" s="18">
        <v>91.71</v>
      </c>
    </row>
    <row r="191" spans="1:4" ht="15" thickBot="1" x14ac:dyDescent="0.4">
      <c r="A191" s="2">
        <v>1184.25</v>
      </c>
      <c r="B191" s="2">
        <v>11</v>
      </c>
      <c r="C191" s="18">
        <f t="shared" si="2"/>
        <v>0.05</v>
      </c>
      <c r="D191" s="2">
        <v>331.59</v>
      </c>
    </row>
    <row r="192" spans="1:4" ht="15" thickBot="1" x14ac:dyDescent="0.4">
      <c r="A192" s="18">
        <v>762.14</v>
      </c>
      <c r="B192" s="18">
        <v>9</v>
      </c>
      <c r="C192" s="18">
        <f t="shared" si="2"/>
        <v>0.05</v>
      </c>
      <c r="D192" s="18">
        <v>381.07</v>
      </c>
    </row>
    <row r="193" spans="1:4" ht="15" thickBot="1" x14ac:dyDescent="0.4">
      <c r="A193" s="2">
        <v>750.71</v>
      </c>
      <c r="B193" s="2">
        <v>10</v>
      </c>
      <c r="C193" s="18">
        <f t="shared" si="2"/>
        <v>0.05</v>
      </c>
      <c r="D193" s="2">
        <v>255.24</v>
      </c>
    </row>
    <row r="194" spans="1:4" ht="15" thickBot="1" x14ac:dyDescent="0.4">
      <c r="A194" s="18">
        <v>1456.94</v>
      </c>
      <c r="B194" s="18">
        <v>14</v>
      </c>
      <c r="C194" s="18">
        <f t="shared" si="2"/>
        <v>0.05</v>
      </c>
      <c r="D194" s="18">
        <v>692.05</v>
      </c>
    </row>
    <row r="195" spans="1:4" ht="15" thickBot="1" x14ac:dyDescent="0.4">
      <c r="A195" s="2">
        <v>1093.3800000000001</v>
      </c>
      <c r="B195" s="2">
        <v>17</v>
      </c>
      <c r="C195" s="18">
        <f t="shared" ref="C195:C201" si="3">$F$2</f>
        <v>0.05</v>
      </c>
      <c r="D195" s="2">
        <v>344.41</v>
      </c>
    </row>
    <row r="196" spans="1:4" ht="15" thickBot="1" x14ac:dyDescent="0.4">
      <c r="A196" s="18">
        <v>934.27</v>
      </c>
      <c r="B196" s="18">
        <v>8</v>
      </c>
      <c r="C196" s="18">
        <f t="shared" si="3"/>
        <v>0.05</v>
      </c>
      <c r="D196" s="18">
        <v>397.06</v>
      </c>
    </row>
    <row r="197" spans="1:4" ht="15" thickBot="1" x14ac:dyDescent="0.4">
      <c r="A197" s="2">
        <v>1465.35</v>
      </c>
      <c r="B197" s="2">
        <v>8</v>
      </c>
      <c r="C197" s="18">
        <f t="shared" si="3"/>
        <v>0.05</v>
      </c>
      <c r="D197" s="2">
        <v>586.14</v>
      </c>
    </row>
    <row r="198" spans="1:4" ht="15" thickBot="1" x14ac:dyDescent="0.4">
      <c r="A198" s="18">
        <v>740.8</v>
      </c>
      <c r="B198" s="18">
        <v>3</v>
      </c>
      <c r="C198" s="18">
        <f t="shared" si="3"/>
        <v>0.05</v>
      </c>
      <c r="D198" s="18">
        <v>333.36</v>
      </c>
    </row>
    <row r="199" spans="1:4" ht="15" thickBot="1" x14ac:dyDescent="0.4">
      <c r="A199" s="2">
        <v>545.44000000000005</v>
      </c>
      <c r="B199" s="2">
        <v>17</v>
      </c>
      <c r="C199" s="18">
        <f t="shared" si="3"/>
        <v>0.05</v>
      </c>
      <c r="D199" s="2">
        <v>245.45</v>
      </c>
    </row>
    <row r="200" spans="1:4" ht="15" thickBot="1" x14ac:dyDescent="0.4">
      <c r="A200" s="18">
        <v>997.61</v>
      </c>
      <c r="B200" s="18">
        <v>8</v>
      </c>
      <c r="C200" s="18">
        <f t="shared" si="3"/>
        <v>0.05</v>
      </c>
      <c r="D200" s="18">
        <v>379.09</v>
      </c>
    </row>
    <row r="201" spans="1:4" ht="15" thickBot="1" x14ac:dyDescent="0.4">
      <c r="A201" s="2">
        <v>928.32</v>
      </c>
      <c r="B201" s="2">
        <v>2</v>
      </c>
      <c r="C201" s="18">
        <f t="shared" si="3"/>
        <v>0.05</v>
      </c>
      <c r="D201" s="2">
        <v>440.95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54E2-BB43-420A-99A2-996A20641C53}">
  <dimension ref="A1:I223"/>
  <sheetViews>
    <sheetView workbookViewId="0">
      <selection activeCell="A10" sqref="A10"/>
    </sheetView>
  </sheetViews>
  <sheetFormatPr defaultRowHeight="14.5" x14ac:dyDescent="0.35"/>
  <cols>
    <col min="1" max="1" width="16.453125" bestFit="1" customWidth="1"/>
    <col min="2" max="2" width="15.26953125" bestFit="1" customWidth="1"/>
    <col min="3" max="3" width="13" bestFit="1" customWidth="1"/>
    <col min="4" max="4" width="12.453125" bestFit="1" customWidth="1"/>
    <col min="5" max="5" width="11.81640625" bestFit="1" customWidth="1"/>
    <col min="6" max="6" width="12.7265625" bestFit="1" customWidth="1"/>
    <col min="7" max="7" width="11.81640625" bestFit="1" customWidth="1"/>
    <col min="8" max="8" width="12.453125" bestFit="1" customWidth="1"/>
    <col min="9" max="9" width="12" bestFit="1" customWidth="1"/>
  </cols>
  <sheetData>
    <row r="1" spans="1:9" x14ac:dyDescent="0.35">
      <c r="A1" t="s">
        <v>79</v>
      </c>
    </row>
    <row r="3" spans="1:9" x14ac:dyDescent="0.35">
      <c r="A3" s="40" t="s">
        <v>80</v>
      </c>
      <c r="B3" s="40"/>
    </row>
    <row r="4" spans="1:9" x14ac:dyDescent="0.35">
      <c r="A4" s="32" t="s">
        <v>81</v>
      </c>
      <c r="B4" s="32">
        <v>0.77356566420146511</v>
      </c>
    </row>
    <row r="5" spans="1:9" x14ac:dyDescent="0.35">
      <c r="A5" s="32" t="s">
        <v>82</v>
      </c>
      <c r="B5" s="32">
        <v>0.59840383683145382</v>
      </c>
    </row>
    <row r="6" spans="1:9" x14ac:dyDescent="0.35">
      <c r="A6" s="32" t="s">
        <v>83</v>
      </c>
      <c r="B6" s="32">
        <v>0.59636527762755254</v>
      </c>
    </row>
    <row r="7" spans="1:9" x14ac:dyDescent="0.35">
      <c r="A7" s="32" t="s">
        <v>84</v>
      </c>
      <c r="B7" s="32">
        <v>86.471707018508098</v>
      </c>
    </row>
    <row r="8" spans="1:9" x14ac:dyDescent="0.35">
      <c r="A8" s="32" t="s">
        <v>85</v>
      </c>
      <c r="B8" s="32">
        <v>199</v>
      </c>
    </row>
    <row r="11" spans="1:9" x14ac:dyDescent="0.35">
      <c r="A11" s="41"/>
      <c r="B11" s="41" t="s">
        <v>90</v>
      </c>
      <c r="C11" s="41" t="s">
        <v>91</v>
      </c>
      <c r="D11" s="41" t="s">
        <v>92</v>
      </c>
      <c r="E11" s="41" t="s">
        <v>93</v>
      </c>
      <c r="F11" s="41" t="s">
        <v>94</v>
      </c>
    </row>
    <row r="12" spans="1:9" x14ac:dyDescent="0.35">
      <c r="A12" s="32" t="s">
        <v>86</v>
      </c>
      <c r="B12" s="32">
        <v>1</v>
      </c>
      <c r="C12" s="32">
        <v>2194922.0703649437</v>
      </c>
      <c r="D12" s="32">
        <v>2194922.0703649437</v>
      </c>
      <c r="E12" s="32">
        <v>293.54253518184368</v>
      </c>
      <c r="F12" s="32">
        <v>6.8782375878390769E-41</v>
      </c>
    </row>
    <row r="13" spans="1:9" x14ac:dyDescent="0.35">
      <c r="A13" s="32" t="s">
        <v>87</v>
      </c>
      <c r="B13" s="32">
        <v>197</v>
      </c>
      <c r="C13" s="32">
        <v>1473039.1545948565</v>
      </c>
      <c r="D13" s="32">
        <v>7477.3561146947031</v>
      </c>
      <c r="E13" s="32"/>
      <c r="F13" s="32"/>
    </row>
    <row r="14" spans="1:9" x14ac:dyDescent="0.35">
      <c r="A14" s="32" t="s">
        <v>88</v>
      </c>
      <c r="B14" s="32">
        <v>198</v>
      </c>
      <c r="C14" s="32">
        <v>3667961.2249598</v>
      </c>
      <c r="D14" s="32"/>
      <c r="E14" s="32"/>
      <c r="F14" s="32"/>
    </row>
    <row r="16" spans="1:9" x14ac:dyDescent="0.35">
      <c r="A16" s="41"/>
      <c r="B16" s="41" t="s">
        <v>95</v>
      </c>
      <c r="C16" s="41" t="s">
        <v>84</v>
      </c>
      <c r="D16" s="41" t="s">
        <v>96</v>
      </c>
      <c r="E16" s="41" t="s">
        <v>97</v>
      </c>
      <c r="F16" s="41" t="s">
        <v>98</v>
      </c>
      <c r="G16" s="41" t="s">
        <v>99</v>
      </c>
      <c r="H16" s="41" t="s">
        <v>100</v>
      </c>
      <c r="I16" s="41" t="s">
        <v>101</v>
      </c>
    </row>
    <row r="17" spans="1:9" x14ac:dyDescent="0.35">
      <c r="A17" s="32" t="s">
        <v>89</v>
      </c>
      <c r="B17" s="32">
        <v>-0.97824544662927337</v>
      </c>
      <c r="C17" s="32">
        <v>20.907197536053534</v>
      </c>
      <c r="D17" s="32">
        <v>-4.6789888742493228E-2</v>
      </c>
      <c r="E17" s="32">
        <v>0.96272808608450733</v>
      </c>
      <c r="F17" s="32">
        <v>-42.208891362546005</v>
      </c>
      <c r="G17" s="32">
        <v>40.252400469287458</v>
      </c>
      <c r="H17" s="32">
        <v>-42.208891362546005</v>
      </c>
      <c r="I17" s="32">
        <v>40.252400469287458</v>
      </c>
    </row>
    <row r="18" spans="1:9" x14ac:dyDescent="0.35">
      <c r="A18" s="32">
        <v>1036.0899999999999</v>
      </c>
      <c r="B18" s="32">
        <v>0.35096067947030868</v>
      </c>
      <c r="C18" s="32">
        <v>2.0484385572447462E-2</v>
      </c>
      <c r="D18" s="32">
        <v>17.133083061196064</v>
      </c>
      <c r="E18" s="32">
        <v>6.8782375878393705E-41</v>
      </c>
      <c r="F18" s="32">
        <v>0.31056385216305021</v>
      </c>
      <c r="G18" s="32">
        <v>0.39135750677756714</v>
      </c>
      <c r="H18" s="32">
        <v>0.31056385216305021</v>
      </c>
      <c r="I18" s="32">
        <v>0.39135750677756714</v>
      </c>
    </row>
    <row r="22" spans="1:9" x14ac:dyDescent="0.35">
      <c r="A22" t="s">
        <v>102</v>
      </c>
    </row>
    <row r="23" spans="1:9" ht="15" thickBot="1" x14ac:dyDescent="0.4"/>
    <row r="24" spans="1:9" x14ac:dyDescent="0.35">
      <c r="A24" s="21" t="s">
        <v>103</v>
      </c>
      <c r="B24" s="21" t="s">
        <v>104</v>
      </c>
      <c r="C24" s="21" t="s">
        <v>105</v>
      </c>
    </row>
    <row r="25" spans="1:9" x14ac:dyDescent="0.35">
      <c r="A25" s="19">
        <v>1</v>
      </c>
      <c r="B25" s="19">
        <v>385.52773164043225</v>
      </c>
      <c r="C25" s="19">
        <v>54.98226835956774</v>
      </c>
    </row>
    <row r="26" spans="1:9" x14ac:dyDescent="0.35">
      <c r="A26" s="19">
        <v>2</v>
      </c>
      <c r="B26" s="19">
        <v>249.37604564672074</v>
      </c>
      <c r="C26" s="19">
        <v>35.963954353279235</v>
      </c>
    </row>
    <row r="27" spans="1:9" x14ac:dyDescent="0.35">
      <c r="A27" s="19">
        <v>3</v>
      </c>
      <c r="B27" s="19">
        <v>266.07826438271269</v>
      </c>
      <c r="C27" s="19">
        <v>-104.3782643827127</v>
      </c>
    </row>
    <row r="28" spans="1:9" x14ac:dyDescent="0.35">
      <c r="A28" s="19">
        <v>4</v>
      </c>
      <c r="B28" s="19">
        <v>296.28545006472217</v>
      </c>
      <c r="C28" s="19">
        <v>-25.245450064722149</v>
      </c>
    </row>
    <row r="29" spans="1:9" x14ac:dyDescent="0.35">
      <c r="A29" s="19">
        <v>5</v>
      </c>
      <c r="B29" s="19">
        <v>337.92342507707957</v>
      </c>
      <c r="C29" s="19">
        <v>-33.743425077079564</v>
      </c>
    </row>
    <row r="30" spans="1:9" x14ac:dyDescent="0.35">
      <c r="A30" s="19">
        <v>6</v>
      </c>
      <c r="B30" s="19">
        <v>461.42297857588653</v>
      </c>
      <c r="C30" s="19">
        <v>-148.51297857588651</v>
      </c>
    </row>
    <row r="31" spans="1:9" x14ac:dyDescent="0.35">
      <c r="A31" s="19">
        <v>7</v>
      </c>
      <c r="B31" s="19">
        <v>376.11847582383331</v>
      </c>
      <c r="C31" s="19">
        <v>-75.268475823833285</v>
      </c>
    </row>
    <row r="32" spans="1:9" x14ac:dyDescent="0.35">
      <c r="A32" s="19">
        <v>8</v>
      </c>
      <c r="B32" s="19">
        <v>175.04257373490935</v>
      </c>
      <c r="C32" s="19">
        <v>15.54742626509065</v>
      </c>
    </row>
    <row r="33" spans="1:3" x14ac:dyDescent="0.35">
      <c r="A33" s="19">
        <v>9</v>
      </c>
      <c r="B33" s="19">
        <v>257.78857313362403</v>
      </c>
      <c r="C33" s="19">
        <v>92.431426866376</v>
      </c>
    </row>
    <row r="34" spans="1:3" x14ac:dyDescent="0.35">
      <c r="A34" s="19">
        <v>10</v>
      </c>
      <c r="B34" s="19">
        <v>551.01973043786165</v>
      </c>
      <c r="C34" s="19">
        <v>121.36026956213834</v>
      </c>
    </row>
    <row r="35" spans="1:3" x14ac:dyDescent="0.35">
      <c r="A35" s="19">
        <v>11</v>
      </c>
      <c r="B35" s="19">
        <v>470.40757197032644</v>
      </c>
      <c r="C35" s="19">
        <v>-13.747571970326419</v>
      </c>
    </row>
    <row r="36" spans="1:3" x14ac:dyDescent="0.35">
      <c r="A36" s="19">
        <v>12</v>
      </c>
      <c r="B36" s="19">
        <v>417.21948099660113</v>
      </c>
      <c r="C36" s="19">
        <v>35.580519003398877</v>
      </c>
    </row>
    <row r="37" spans="1:3" x14ac:dyDescent="0.35">
      <c r="A37" s="19">
        <v>13</v>
      </c>
      <c r="B37" s="19">
        <v>287.60970206821617</v>
      </c>
      <c r="C37" s="19">
        <v>-14.199702068216141</v>
      </c>
    </row>
    <row r="38" spans="1:3" x14ac:dyDescent="0.35">
      <c r="A38" s="19">
        <v>14</v>
      </c>
      <c r="B38" s="19">
        <v>182.10741221264664</v>
      </c>
      <c r="C38" s="19">
        <v>-26.907412212646648</v>
      </c>
    </row>
    <row r="39" spans="1:3" x14ac:dyDescent="0.35">
      <c r="A39" s="19">
        <v>15</v>
      </c>
      <c r="B39" s="19">
        <v>526.49108854968176</v>
      </c>
      <c r="C39" s="19">
        <v>-225.90108854968179</v>
      </c>
    </row>
    <row r="40" spans="1:3" x14ac:dyDescent="0.35">
      <c r="A40" s="19">
        <v>16</v>
      </c>
      <c r="B40" s="19">
        <v>307.0178276429242</v>
      </c>
      <c r="C40" s="19">
        <v>-8.6378276429242078</v>
      </c>
    </row>
    <row r="41" spans="1:3" x14ac:dyDescent="0.35">
      <c r="A41" s="19">
        <v>17</v>
      </c>
      <c r="B41" s="19">
        <v>222.47841917211628</v>
      </c>
      <c r="C41" s="19">
        <v>-18.738419172116267</v>
      </c>
    </row>
    <row r="42" spans="1:3" x14ac:dyDescent="0.35">
      <c r="A42" s="19">
        <v>18</v>
      </c>
      <c r="B42" s="19">
        <v>527.61767233078149</v>
      </c>
      <c r="C42" s="19">
        <v>-45.657672330781509</v>
      </c>
    </row>
    <row r="43" spans="1:3" x14ac:dyDescent="0.35">
      <c r="A43" s="19">
        <v>19</v>
      </c>
      <c r="B43" s="19">
        <v>225.39841202530923</v>
      </c>
      <c r="C43" s="19">
        <v>-64.138412025309236</v>
      </c>
    </row>
    <row r="44" spans="1:3" x14ac:dyDescent="0.35">
      <c r="A44" s="19">
        <v>20</v>
      </c>
      <c r="B44" s="19">
        <v>333.59257029241599</v>
      </c>
      <c r="C44" s="19">
        <v>143.05742970758399</v>
      </c>
    </row>
    <row r="45" spans="1:3" x14ac:dyDescent="0.35">
      <c r="A45" s="19">
        <v>21</v>
      </c>
      <c r="B45" s="19">
        <v>135.39103616835388</v>
      </c>
      <c r="C45" s="19">
        <v>-52.821036168353885</v>
      </c>
    </row>
    <row r="46" spans="1:3" x14ac:dyDescent="0.35">
      <c r="A46" s="19">
        <v>22</v>
      </c>
      <c r="B46" s="19">
        <v>259.84520271532</v>
      </c>
      <c r="C46" s="19">
        <v>37.424797284679983</v>
      </c>
    </row>
    <row r="47" spans="1:3" x14ac:dyDescent="0.35">
      <c r="A47" s="19">
        <v>23</v>
      </c>
      <c r="B47" s="19">
        <v>246.92984971081268</v>
      </c>
      <c r="C47" s="19">
        <v>-70.339849710812672</v>
      </c>
    </row>
    <row r="48" spans="1:3" x14ac:dyDescent="0.35">
      <c r="A48" s="19">
        <v>24</v>
      </c>
      <c r="B48" s="19">
        <v>323.76918087404204</v>
      </c>
      <c r="C48" s="19">
        <v>50.980819125957964</v>
      </c>
    </row>
    <row r="49" spans="1:3" x14ac:dyDescent="0.35">
      <c r="A49" s="19">
        <v>25</v>
      </c>
      <c r="B49" s="19">
        <v>410.7407468535792</v>
      </c>
      <c r="C49" s="19">
        <v>-117.46074685357922</v>
      </c>
    </row>
    <row r="50" spans="1:3" x14ac:dyDescent="0.35">
      <c r="A50" s="19">
        <v>26</v>
      </c>
      <c r="B50" s="19">
        <v>236.10973196274304</v>
      </c>
      <c r="C50" s="19">
        <v>0.33026803725695686</v>
      </c>
    </row>
    <row r="51" spans="1:3" x14ac:dyDescent="0.35">
      <c r="A51" s="19">
        <v>27</v>
      </c>
      <c r="B51" s="19">
        <v>328.60541903714289</v>
      </c>
      <c r="C51" s="19">
        <v>28.244580962857128</v>
      </c>
    </row>
    <row r="52" spans="1:3" x14ac:dyDescent="0.35">
      <c r="A52" s="19">
        <v>28</v>
      </c>
      <c r="B52" s="19">
        <v>344.1354291037041</v>
      </c>
      <c r="C52" s="19">
        <v>54.114570896295902</v>
      </c>
    </row>
    <row r="53" spans="1:3" x14ac:dyDescent="0.35">
      <c r="A53" s="19">
        <v>29</v>
      </c>
      <c r="B53" s="19">
        <v>280.21496055177676</v>
      </c>
      <c r="C53" s="19">
        <v>-119.97496055177675</v>
      </c>
    </row>
    <row r="54" spans="1:3" x14ac:dyDescent="0.35">
      <c r="A54" s="19">
        <v>30</v>
      </c>
      <c r="B54" s="19">
        <v>508.16392186774226</v>
      </c>
      <c r="C54" s="19">
        <v>-181.75392186774224</v>
      </c>
    </row>
    <row r="55" spans="1:3" x14ac:dyDescent="0.35">
      <c r="A55" s="19">
        <v>31</v>
      </c>
      <c r="B55" s="19">
        <v>358.12823139418526</v>
      </c>
      <c r="C55" s="19">
        <v>30.69176860581473</v>
      </c>
    </row>
    <row r="56" spans="1:3" x14ac:dyDescent="0.35">
      <c r="A56" s="19">
        <v>32</v>
      </c>
      <c r="B56" s="19">
        <v>298.64390583076266</v>
      </c>
      <c r="C56" s="19">
        <v>-44.663905830762673</v>
      </c>
    </row>
    <row r="57" spans="1:3" x14ac:dyDescent="0.35">
      <c r="A57" s="19">
        <v>33</v>
      </c>
      <c r="B57" s="19">
        <v>338.71308660588778</v>
      </c>
      <c r="C57" s="19">
        <v>-120.93308660588778</v>
      </c>
    </row>
    <row r="58" spans="1:3" x14ac:dyDescent="0.35">
      <c r="A58" s="19">
        <v>34</v>
      </c>
      <c r="B58" s="19">
        <v>420.49043452926446</v>
      </c>
      <c r="C58" s="19">
        <v>92.889565470735533</v>
      </c>
    </row>
    <row r="59" spans="1:3" x14ac:dyDescent="0.35">
      <c r="A59" s="19">
        <v>35</v>
      </c>
      <c r="B59" s="19">
        <v>164.80856032155515</v>
      </c>
      <c r="C59" s="19">
        <v>-13.648560321555152</v>
      </c>
    </row>
    <row r="60" spans="1:3" x14ac:dyDescent="0.35">
      <c r="A60" s="19">
        <v>36</v>
      </c>
      <c r="B60" s="19">
        <v>294.15160913354271</v>
      </c>
      <c r="C60" s="19">
        <v>65.338390866457303</v>
      </c>
    </row>
    <row r="61" spans="1:3" x14ac:dyDescent="0.35">
      <c r="A61" s="19">
        <v>37</v>
      </c>
      <c r="B61" s="19">
        <v>493.89737024727418</v>
      </c>
      <c r="C61" s="19">
        <v>-25.057370247274207</v>
      </c>
    </row>
    <row r="62" spans="1:3" x14ac:dyDescent="0.35">
      <c r="A62" s="19">
        <v>38</v>
      </c>
      <c r="B62" s="19">
        <v>270.34594624507167</v>
      </c>
      <c r="C62" s="19">
        <v>-40.355946245071664</v>
      </c>
    </row>
    <row r="63" spans="1:3" x14ac:dyDescent="0.35">
      <c r="A63" s="19">
        <v>39</v>
      </c>
      <c r="B63" s="19">
        <v>202.72986173832197</v>
      </c>
      <c r="C63" s="19">
        <v>-5.3798617383219778</v>
      </c>
    </row>
    <row r="64" spans="1:3" x14ac:dyDescent="0.35">
      <c r="A64" s="19">
        <v>40</v>
      </c>
      <c r="B64" s="19">
        <v>403.05119836638477</v>
      </c>
      <c r="C64" s="19">
        <v>11.38880163361523</v>
      </c>
    </row>
    <row r="65" spans="1:3" x14ac:dyDescent="0.35">
      <c r="A65" s="19">
        <v>41</v>
      </c>
      <c r="B65" s="19">
        <v>359.10039247631801</v>
      </c>
      <c r="C65" s="19">
        <v>10.249607523682016</v>
      </c>
    </row>
    <row r="66" spans="1:3" x14ac:dyDescent="0.35">
      <c r="A66" s="19">
        <v>42</v>
      </c>
      <c r="B66" s="19">
        <v>194.30329582423985</v>
      </c>
      <c r="C66" s="19">
        <v>18.526704175760159</v>
      </c>
    </row>
    <row r="67" spans="1:3" x14ac:dyDescent="0.35">
      <c r="A67" s="19">
        <v>43</v>
      </c>
      <c r="B67" s="19">
        <v>294.12704188597979</v>
      </c>
      <c r="C67" s="19">
        <v>8.5829581140201867</v>
      </c>
    </row>
    <row r="68" spans="1:3" x14ac:dyDescent="0.35">
      <c r="A68" s="19">
        <v>44</v>
      </c>
      <c r="B68" s="19">
        <v>429.73824843330704</v>
      </c>
      <c r="C68" s="19">
        <v>-64.628248433307022</v>
      </c>
    </row>
    <row r="69" spans="1:3" x14ac:dyDescent="0.35">
      <c r="A69" s="19">
        <v>45</v>
      </c>
      <c r="B69" s="19">
        <v>299.6897686555842</v>
      </c>
      <c r="C69" s="19">
        <v>-85.509768655584196</v>
      </c>
    </row>
    <row r="70" spans="1:3" x14ac:dyDescent="0.35">
      <c r="A70" s="19">
        <v>46</v>
      </c>
      <c r="B70" s="19">
        <v>429.09599038987642</v>
      </c>
      <c r="C70" s="19">
        <v>39.624009610123608</v>
      </c>
    </row>
    <row r="71" spans="1:3" x14ac:dyDescent="0.35">
      <c r="A71" s="19">
        <v>47</v>
      </c>
      <c r="B71" s="19">
        <v>350.53344229044779</v>
      </c>
      <c r="C71" s="19">
        <v>100.17655770955218</v>
      </c>
    </row>
    <row r="72" spans="1:3" x14ac:dyDescent="0.35">
      <c r="A72" s="19">
        <v>48</v>
      </c>
      <c r="B72" s="19">
        <v>415.55943698270653</v>
      </c>
      <c r="C72" s="19">
        <v>-83.239436982706536</v>
      </c>
    </row>
    <row r="73" spans="1:3" x14ac:dyDescent="0.35">
      <c r="A73" s="19">
        <v>49</v>
      </c>
      <c r="B73" s="19">
        <v>271.17421344862163</v>
      </c>
      <c r="C73" s="19">
        <v>-96.694213448621639</v>
      </c>
    </row>
    <row r="74" spans="1:3" x14ac:dyDescent="0.35">
      <c r="A74" s="19">
        <v>50</v>
      </c>
      <c r="B74" s="19">
        <v>357.51755981190695</v>
      </c>
      <c r="C74" s="19">
        <v>-114.91755981190695</v>
      </c>
    </row>
    <row r="75" spans="1:3" x14ac:dyDescent="0.35">
      <c r="A75" s="19">
        <v>51</v>
      </c>
      <c r="B75" s="19">
        <v>429.5171432052407</v>
      </c>
      <c r="C75" s="19">
        <v>122.46285679475932</v>
      </c>
    </row>
    <row r="76" spans="1:3" x14ac:dyDescent="0.35">
      <c r="A76" s="19">
        <v>52</v>
      </c>
      <c r="B76" s="19">
        <v>380.49144589003333</v>
      </c>
      <c r="C76" s="19">
        <v>-6.1445890033326123E-2</v>
      </c>
    </row>
    <row r="77" spans="1:3" x14ac:dyDescent="0.35">
      <c r="A77" s="19">
        <v>53</v>
      </c>
      <c r="B77" s="19">
        <v>329.94257922592476</v>
      </c>
      <c r="C77" s="19">
        <v>9.4974207740752377</v>
      </c>
    </row>
    <row r="78" spans="1:3" x14ac:dyDescent="0.35">
      <c r="A78" s="19">
        <v>54</v>
      </c>
      <c r="B78" s="19">
        <v>286.38835890365948</v>
      </c>
      <c r="C78" s="19">
        <v>-112.39835890365947</v>
      </c>
    </row>
    <row r="79" spans="1:3" x14ac:dyDescent="0.35">
      <c r="A79" s="19">
        <v>55</v>
      </c>
      <c r="B79" s="19">
        <v>321.56865741376322</v>
      </c>
      <c r="C79" s="19">
        <v>-64.238657413763235</v>
      </c>
    </row>
    <row r="80" spans="1:3" x14ac:dyDescent="0.35">
      <c r="A80" s="19">
        <v>56</v>
      </c>
      <c r="B80" s="19">
        <v>340.59774545464336</v>
      </c>
      <c r="C80" s="19">
        <v>48.702254545356652</v>
      </c>
    </row>
    <row r="81" spans="1:3" x14ac:dyDescent="0.35">
      <c r="A81" s="19">
        <v>57</v>
      </c>
      <c r="B81" s="19">
        <v>259.29770405534634</v>
      </c>
      <c r="C81" s="19">
        <v>-110.97770405534635</v>
      </c>
    </row>
    <row r="82" spans="1:3" x14ac:dyDescent="0.35">
      <c r="A82" s="19">
        <v>58</v>
      </c>
      <c r="B82" s="19">
        <v>437.30847028948159</v>
      </c>
      <c r="C82" s="19">
        <v>12.271529710518394</v>
      </c>
    </row>
    <row r="83" spans="1:3" x14ac:dyDescent="0.35">
      <c r="A83" s="19">
        <v>59</v>
      </c>
      <c r="B83" s="19">
        <v>476.45462447759979</v>
      </c>
      <c r="C83" s="19">
        <v>203.72537552240016</v>
      </c>
    </row>
    <row r="84" spans="1:3" x14ac:dyDescent="0.35">
      <c r="A84" s="19">
        <v>60</v>
      </c>
      <c r="B84" s="19">
        <v>484.50566246464871</v>
      </c>
      <c r="C84" s="19">
        <v>13.484337535351301</v>
      </c>
    </row>
    <row r="85" spans="1:3" x14ac:dyDescent="0.35">
      <c r="A85" s="19">
        <v>61</v>
      </c>
      <c r="B85" s="19">
        <v>170.63801720755697</v>
      </c>
      <c r="C85" s="19">
        <v>49.411982792443041</v>
      </c>
    </row>
    <row r="86" spans="1:3" x14ac:dyDescent="0.35">
      <c r="A86" s="19">
        <v>62</v>
      </c>
      <c r="B86" s="19">
        <v>326.71725058159268</v>
      </c>
      <c r="C86" s="19">
        <v>-32.597250581592675</v>
      </c>
    </row>
    <row r="87" spans="1:3" x14ac:dyDescent="0.35">
      <c r="A87" s="19">
        <v>63</v>
      </c>
      <c r="B87" s="19">
        <v>351.92324658115018</v>
      </c>
      <c r="C87" s="19">
        <v>-150.81324658115017</v>
      </c>
    </row>
    <row r="88" spans="1:3" x14ac:dyDescent="0.35">
      <c r="A88" s="19">
        <v>64</v>
      </c>
      <c r="B88" s="19">
        <v>385.11359803865724</v>
      </c>
      <c r="C88" s="19">
        <v>-123.84359803865726</v>
      </c>
    </row>
    <row r="89" spans="1:3" x14ac:dyDescent="0.35">
      <c r="A89" s="19">
        <v>65</v>
      </c>
      <c r="B89" s="19">
        <v>362.16076960129914</v>
      </c>
      <c r="C89" s="19">
        <v>-54.340769601299144</v>
      </c>
    </row>
    <row r="90" spans="1:3" x14ac:dyDescent="0.35">
      <c r="A90" s="19">
        <v>66</v>
      </c>
      <c r="B90" s="19">
        <v>306.61773246832809</v>
      </c>
      <c r="C90" s="19">
        <v>26.432267531671926</v>
      </c>
    </row>
    <row r="91" spans="1:3" x14ac:dyDescent="0.35">
      <c r="A91" s="19">
        <v>67</v>
      </c>
      <c r="B91" s="19">
        <v>480.30817273818383</v>
      </c>
      <c r="C91" s="19">
        <v>-24.3381727381838</v>
      </c>
    </row>
    <row r="92" spans="1:3" x14ac:dyDescent="0.35">
      <c r="A92" s="19">
        <v>68</v>
      </c>
      <c r="B92" s="19">
        <v>357.09289738974786</v>
      </c>
      <c r="C92" s="19">
        <v>-114.78289738974786</v>
      </c>
    </row>
    <row r="93" spans="1:3" x14ac:dyDescent="0.35">
      <c r="A93" s="19">
        <v>69</v>
      </c>
      <c r="B93" s="19">
        <v>281.47841899786982</v>
      </c>
      <c r="C93" s="19">
        <v>62.581581002130179</v>
      </c>
    </row>
    <row r="94" spans="1:3" x14ac:dyDescent="0.35">
      <c r="A94" s="19">
        <v>70</v>
      </c>
      <c r="B94" s="19">
        <v>212.6374817197688</v>
      </c>
      <c r="C94" s="19">
        <v>-68.077481719768798</v>
      </c>
    </row>
    <row r="95" spans="1:3" x14ac:dyDescent="0.35">
      <c r="A95" s="19">
        <v>71</v>
      </c>
      <c r="B95" s="19">
        <v>343.38437324963763</v>
      </c>
      <c r="C95" s="19">
        <v>98.155626750362387</v>
      </c>
    </row>
    <row r="96" spans="1:3" x14ac:dyDescent="0.35">
      <c r="A96" s="19">
        <v>72</v>
      </c>
      <c r="B96" s="19">
        <v>188.45980051105923</v>
      </c>
      <c r="C96" s="19">
        <v>-73.759800511059225</v>
      </c>
    </row>
    <row r="97" spans="1:3" x14ac:dyDescent="0.35">
      <c r="A97" s="19">
        <v>73</v>
      </c>
      <c r="B97" s="19">
        <v>281.35207315326056</v>
      </c>
      <c r="C97" s="19">
        <v>-23.932073153260546</v>
      </c>
    </row>
    <row r="98" spans="1:3" x14ac:dyDescent="0.35">
      <c r="A98" s="19">
        <v>74</v>
      </c>
      <c r="B98" s="19">
        <v>534.79832783274401</v>
      </c>
      <c r="C98" s="19">
        <v>-229.47832783274401</v>
      </c>
    </row>
    <row r="99" spans="1:3" x14ac:dyDescent="0.35">
      <c r="A99" s="19">
        <v>75</v>
      </c>
      <c r="B99" s="19">
        <v>425.53022988645807</v>
      </c>
      <c r="C99" s="19">
        <v>-167.29022988645806</v>
      </c>
    </row>
    <row r="100" spans="1:3" x14ac:dyDescent="0.35">
      <c r="A100" s="19">
        <v>76</v>
      </c>
      <c r="B100" s="19">
        <v>441.70249799644984</v>
      </c>
      <c r="C100" s="19">
        <v>-0.2324979964498084</v>
      </c>
    </row>
    <row r="101" spans="1:3" x14ac:dyDescent="0.35">
      <c r="A101" s="19">
        <v>77</v>
      </c>
      <c r="B101" s="19">
        <v>180.84395376655357</v>
      </c>
      <c r="C101" s="19">
        <v>-8.5839537665535772</v>
      </c>
    </row>
    <row r="102" spans="1:3" x14ac:dyDescent="0.35">
      <c r="A102" s="19">
        <v>78</v>
      </c>
      <c r="B102" s="19">
        <v>389.05839607590354</v>
      </c>
      <c r="C102" s="19">
        <v>111.04160392409648</v>
      </c>
    </row>
    <row r="103" spans="1:3" x14ac:dyDescent="0.35">
      <c r="A103" s="19">
        <v>79</v>
      </c>
      <c r="B103" s="19">
        <v>452.27694326889031</v>
      </c>
      <c r="C103" s="19">
        <v>128.88305673110966</v>
      </c>
    </row>
    <row r="104" spans="1:3" x14ac:dyDescent="0.35">
      <c r="A104" s="19">
        <v>80</v>
      </c>
      <c r="B104" s="19">
        <v>237.57323799613425</v>
      </c>
      <c r="C104" s="19">
        <v>34.306762003865742</v>
      </c>
    </row>
    <row r="105" spans="1:3" x14ac:dyDescent="0.35">
      <c r="A105" s="19">
        <v>81</v>
      </c>
      <c r="B105" s="19">
        <v>400.41197405676809</v>
      </c>
      <c r="C105" s="19">
        <v>-0.12197405676806738</v>
      </c>
    </row>
    <row r="106" spans="1:3" x14ac:dyDescent="0.35">
      <c r="A106" s="19">
        <v>82</v>
      </c>
      <c r="B106" s="19">
        <v>276.3087681892722</v>
      </c>
      <c r="C106" s="19">
        <v>-98.53876818927219</v>
      </c>
    </row>
    <row r="107" spans="1:3" x14ac:dyDescent="0.35">
      <c r="A107" s="19">
        <v>83</v>
      </c>
      <c r="B107" s="19">
        <v>374.78833484864083</v>
      </c>
      <c r="C107" s="19">
        <v>32.071665151359184</v>
      </c>
    </row>
    <row r="108" spans="1:3" x14ac:dyDescent="0.35">
      <c r="A108" s="19">
        <v>84</v>
      </c>
      <c r="B108" s="19">
        <v>409.25618317941985</v>
      </c>
      <c r="C108" s="19">
        <v>116.74381682058015</v>
      </c>
    </row>
    <row r="109" spans="1:3" x14ac:dyDescent="0.35">
      <c r="A109" s="19">
        <v>85</v>
      </c>
      <c r="B109" s="19">
        <v>467.85959743737192</v>
      </c>
      <c r="C109" s="19">
        <v>-133.88959743737189</v>
      </c>
    </row>
    <row r="110" spans="1:3" x14ac:dyDescent="0.35">
      <c r="A110" s="19">
        <v>86</v>
      </c>
      <c r="B110" s="19">
        <v>305.65610020657942</v>
      </c>
      <c r="C110" s="19">
        <v>0.14389979342058723</v>
      </c>
    </row>
    <row r="111" spans="1:3" x14ac:dyDescent="0.35">
      <c r="A111" s="19">
        <v>87</v>
      </c>
      <c r="B111" s="19">
        <v>505.80195649490707</v>
      </c>
      <c r="C111" s="19">
        <v>143.98804350509289</v>
      </c>
    </row>
    <row r="112" spans="1:3" x14ac:dyDescent="0.35">
      <c r="A112" s="19">
        <v>88</v>
      </c>
      <c r="B112" s="19">
        <v>404.14619568633213</v>
      </c>
      <c r="C112" s="19">
        <v>37.383804313667838</v>
      </c>
    </row>
    <row r="113" spans="1:3" x14ac:dyDescent="0.35">
      <c r="A113" s="19">
        <v>89</v>
      </c>
      <c r="B113" s="19">
        <v>442.80802413678134</v>
      </c>
      <c r="C113" s="19">
        <v>37.701975863218649</v>
      </c>
    </row>
    <row r="114" spans="1:3" x14ac:dyDescent="0.35">
      <c r="A114" s="19">
        <v>90</v>
      </c>
      <c r="B114" s="19">
        <v>385.62249102388921</v>
      </c>
      <c r="C114" s="19">
        <v>-38.632491023889202</v>
      </c>
    </row>
    <row r="115" spans="1:3" x14ac:dyDescent="0.35">
      <c r="A115" s="19">
        <v>91</v>
      </c>
      <c r="B115" s="19">
        <v>254.42636982429846</v>
      </c>
      <c r="C115" s="19">
        <v>-25.196369824298472</v>
      </c>
    </row>
    <row r="116" spans="1:3" x14ac:dyDescent="0.35">
      <c r="A116" s="19">
        <v>92</v>
      </c>
      <c r="B116" s="19">
        <v>306.25624296847366</v>
      </c>
      <c r="C116" s="19">
        <v>28.583757031526318</v>
      </c>
    </row>
    <row r="117" spans="1:3" x14ac:dyDescent="0.35">
      <c r="A117" s="19">
        <v>93</v>
      </c>
      <c r="B117" s="19">
        <v>405.7641244186903</v>
      </c>
      <c r="C117" s="19">
        <v>-173.97412441869031</v>
      </c>
    </row>
    <row r="118" spans="1:3" x14ac:dyDescent="0.35">
      <c r="A118" s="19">
        <v>94</v>
      </c>
      <c r="B118" s="19">
        <v>338.15505912552999</v>
      </c>
      <c r="C118" s="19">
        <v>-9.6150591255299673</v>
      </c>
    </row>
    <row r="119" spans="1:3" x14ac:dyDescent="0.35">
      <c r="A119" s="19">
        <v>95</v>
      </c>
      <c r="B119" s="19">
        <v>321.02115875378956</v>
      </c>
      <c r="C119" s="19">
        <v>45.968841246210445</v>
      </c>
    </row>
    <row r="120" spans="1:3" x14ac:dyDescent="0.35">
      <c r="A120" s="19">
        <v>96</v>
      </c>
      <c r="B120" s="19">
        <v>410.68810275165873</v>
      </c>
      <c r="C120" s="19">
        <v>-61.728102751658753</v>
      </c>
    </row>
    <row r="121" spans="1:3" x14ac:dyDescent="0.35">
      <c r="A121" s="19">
        <v>97</v>
      </c>
      <c r="B121" s="19">
        <v>422.21716107225831</v>
      </c>
      <c r="C121" s="19">
        <v>120.4028389277417</v>
      </c>
    </row>
    <row r="122" spans="1:3" x14ac:dyDescent="0.35">
      <c r="A122" s="19">
        <v>98</v>
      </c>
      <c r="B122" s="19">
        <v>289.24166922775305</v>
      </c>
      <c r="C122" s="19">
        <v>8.4483307722469476</v>
      </c>
    </row>
    <row r="123" spans="1:3" x14ac:dyDescent="0.35">
      <c r="A123" s="19">
        <v>99</v>
      </c>
      <c r="B123" s="19">
        <v>315.65496996468852</v>
      </c>
      <c r="C123" s="19">
        <v>135.4450300353115</v>
      </c>
    </row>
    <row r="124" spans="1:3" x14ac:dyDescent="0.35">
      <c r="A124" s="19">
        <v>100</v>
      </c>
      <c r="B124" s="19">
        <v>204.67418390258752</v>
      </c>
      <c r="C124" s="19">
        <v>6.2758160974124735</v>
      </c>
    </row>
    <row r="125" spans="1:3" x14ac:dyDescent="0.35">
      <c r="A125" s="19">
        <v>101</v>
      </c>
      <c r="B125" s="19">
        <v>346.53950975807572</v>
      </c>
      <c r="C125" s="19">
        <v>99.050490241924251</v>
      </c>
    </row>
    <row r="126" spans="1:3" x14ac:dyDescent="0.35">
      <c r="A126" s="19">
        <v>102</v>
      </c>
      <c r="B126" s="19">
        <v>354.92746999741604</v>
      </c>
      <c r="C126" s="19">
        <v>-152.10746999741605</v>
      </c>
    </row>
    <row r="127" spans="1:3" x14ac:dyDescent="0.35">
      <c r="A127" s="19">
        <v>103</v>
      </c>
      <c r="B127" s="19">
        <v>323.76216166045265</v>
      </c>
      <c r="C127" s="19">
        <v>-92.442161660452655</v>
      </c>
    </row>
    <row r="128" spans="1:3" x14ac:dyDescent="0.35">
      <c r="A128" s="19">
        <v>104</v>
      </c>
      <c r="B128" s="19">
        <v>450.54670711910165</v>
      </c>
      <c r="C128" s="19">
        <v>-0.25670711910163391</v>
      </c>
    </row>
    <row r="129" spans="1:3" x14ac:dyDescent="0.35">
      <c r="A129" s="19">
        <v>105</v>
      </c>
      <c r="B129" s="19">
        <v>336.51256314560896</v>
      </c>
      <c r="C129" s="19">
        <v>-28.792563145608938</v>
      </c>
    </row>
    <row r="130" spans="1:3" x14ac:dyDescent="0.35">
      <c r="A130" s="19">
        <v>106</v>
      </c>
      <c r="B130" s="19">
        <v>378.45938355590027</v>
      </c>
      <c r="C130" s="19">
        <v>-10.869383555900299</v>
      </c>
    </row>
    <row r="131" spans="1:3" x14ac:dyDescent="0.35">
      <c r="A131" s="19">
        <v>107</v>
      </c>
      <c r="B131" s="19">
        <v>674.15077522322485</v>
      </c>
      <c r="C131" s="19">
        <v>95.309224776775181</v>
      </c>
    </row>
    <row r="132" spans="1:3" x14ac:dyDescent="0.35">
      <c r="A132" s="19">
        <v>108</v>
      </c>
      <c r="B132" s="19">
        <v>254.77031129017936</v>
      </c>
      <c r="C132" s="19">
        <v>73.149688709820651</v>
      </c>
    </row>
    <row r="133" spans="1:3" x14ac:dyDescent="0.35">
      <c r="A133" s="19">
        <v>109</v>
      </c>
      <c r="B133" s="19">
        <v>455.93395354897092</v>
      </c>
      <c r="C133" s="19">
        <v>97.366046451029035</v>
      </c>
    </row>
    <row r="134" spans="1:3" x14ac:dyDescent="0.35">
      <c r="A134" s="19">
        <v>110</v>
      </c>
      <c r="B134" s="19">
        <v>343.02639335657784</v>
      </c>
      <c r="C134" s="19">
        <v>9.8336066434221721</v>
      </c>
    </row>
    <row r="135" spans="1:3" x14ac:dyDescent="0.35">
      <c r="A135" s="19">
        <v>111</v>
      </c>
      <c r="B135" s="19">
        <v>243.84139573147397</v>
      </c>
      <c r="C135" s="19">
        <v>70.068604268526059</v>
      </c>
    </row>
    <row r="136" spans="1:3" x14ac:dyDescent="0.35">
      <c r="A136" s="19">
        <v>112</v>
      </c>
      <c r="B136" s="19">
        <v>417.93193117592585</v>
      </c>
      <c r="C136" s="19">
        <v>-62.831931175925831</v>
      </c>
    </row>
    <row r="137" spans="1:3" x14ac:dyDescent="0.35">
      <c r="A137" s="19">
        <v>113</v>
      </c>
      <c r="B137" s="19">
        <v>269.61945763856812</v>
      </c>
      <c r="C137" s="19">
        <v>-76.859457638568131</v>
      </c>
    </row>
    <row r="138" spans="1:3" x14ac:dyDescent="0.35">
      <c r="A138" s="19">
        <v>114</v>
      </c>
      <c r="B138" s="19">
        <v>231.0383501443971</v>
      </c>
      <c r="C138" s="19">
        <v>33.401649855602898</v>
      </c>
    </row>
    <row r="139" spans="1:3" x14ac:dyDescent="0.35">
      <c r="A139" s="19">
        <v>115</v>
      </c>
      <c r="B139" s="19">
        <v>240.77399939290348</v>
      </c>
      <c r="C139" s="19">
        <v>-68.563999392903469</v>
      </c>
    </row>
    <row r="140" spans="1:3" x14ac:dyDescent="0.35">
      <c r="A140" s="19">
        <v>116</v>
      </c>
      <c r="B140" s="19">
        <v>437.40673927973324</v>
      </c>
      <c r="C140" s="19">
        <v>37.25326072026678</v>
      </c>
    </row>
    <row r="141" spans="1:3" x14ac:dyDescent="0.35">
      <c r="A141" s="19">
        <v>117</v>
      </c>
      <c r="B141" s="19">
        <v>354.97309488574723</v>
      </c>
      <c r="C141" s="19">
        <v>78.606905114252754</v>
      </c>
    </row>
    <row r="142" spans="1:3" x14ac:dyDescent="0.35">
      <c r="A142" s="19">
        <v>118</v>
      </c>
      <c r="B142" s="19">
        <v>353.69559801247527</v>
      </c>
      <c r="C142" s="19">
        <v>-10.09559801247525</v>
      </c>
    </row>
    <row r="143" spans="1:3" x14ac:dyDescent="0.35">
      <c r="A143" s="19">
        <v>119</v>
      </c>
      <c r="B143" s="19">
        <v>334.99290340350251</v>
      </c>
      <c r="C143" s="19">
        <v>-16.692903403502498</v>
      </c>
    </row>
    <row r="144" spans="1:3" x14ac:dyDescent="0.35">
      <c r="A144" s="19">
        <v>120</v>
      </c>
      <c r="B144" s="19">
        <v>377.32929016800585</v>
      </c>
      <c r="C144" s="19">
        <v>-18.91929016800583</v>
      </c>
    </row>
    <row r="145" spans="1:3" x14ac:dyDescent="0.35">
      <c r="A145" s="19">
        <v>121</v>
      </c>
      <c r="B145" s="19">
        <v>407.19253438413443</v>
      </c>
      <c r="C145" s="19">
        <v>174.30746561586557</v>
      </c>
    </row>
    <row r="146" spans="1:3" x14ac:dyDescent="0.35">
      <c r="A146" s="19">
        <v>122</v>
      </c>
      <c r="B146" s="19">
        <v>355.0924215167671</v>
      </c>
      <c r="C146" s="19">
        <v>55.807578483232874</v>
      </c>
    </row>
    <row r="147" spans="1:3" x14ac:dyDescent="0.35">
      <c r="A147" s="19">
        <v>123</v>
      </c>
      <c r="B147" s="19">
        <v>251.02556084023115</v>
      </c>
      <c r="C147" s="19">
        <v>-71.51556084023116</v>
      </c>
    </row>
    <row r="148" spans="1:3" x14ac:dyDescent="0.35">
      <c r="A148" s="19">
        <v>124</v>
      </c>
      <c r="B148" s="19">
        <v>447.49685881450466</v>
      </c>
      <c r="C148" s="19">
        <v>63.643141185495324</v>
      </c>
    </row>
    <row r="149" spans="1:3" x14ac:dyDescent="0.35">
      <c r="A149" s="19">
        <v>125</v>
      </c>
      <c r="B149" s="19">
        <v>247.05619555542199</v>
      </c>
      <c r="C149" s="19">
        <v>-96.876195555421987</v>
      </c>
    </row>
    <row r="150" spans="1:3" x14ac:dyDescent="0.35">
      <c r="A150" s="19">
        <v>126</v>
      </c>
      <c r="B150" s="19">
        <v>494.08337940739341</v>
      </c>
      <c r="C150" s="19">
        <v>-141.43337940739343</v>
      </c>
    </row>
    <row r="151" spans="1:3" x14ac:dyDescent="0.35">
      <c r="A151" s="19">
        <v>127</v>
      </c>
      <c r="B151" s="19">
        <v>472.93448886251264</v>
      </c>
      <c r="C151" s="19">
        <v>-0.31448886251263275</v>
      </c>
    </row>
    <row r="152" spans="1:3" x14ac:dyDescent="0.35">
      <c r="A152" s="19">
        <v>128</v>
      </c>
      <c r="B152" s="19">
        <v>321.61779190888905</v>
      </c>
      <c r="C152" s="19">
        <v>-126.28779190888903</v>
      </c>
    </row>
    <row r="153" spans="1:3" x14ac:dyDescent="0.35">
      <c r="A153" s="19">
        <v>129</v>
      </c>
      <c r="B153" s="19">
        <v>89.748599803240225</v>
      </c>
      <c r="C153" s="19">
        <v>-25.11859980324023</v>
      </c>
    </row>
    <row r="154" spans="1:3" x14ac:dyDescent="0.35">
      <c r="A154" s="19">
        <v>130</v>
      </c>
      <c r="B154" s="19">
        <v>424.90551987700093</v>
      </c>
      <c r="C154" s="19">
        <v>36.214480122999078</v>
      </c>
    </row>
    <row r="155" spans="1:3" x14ac:dyDescent="0.35">
      <c r="A155" s="19">
        <v>131</v>
      </c>
      <c r="B155" s="19">
        <v>402.72480493447739</v>
      </c>
      <c r="C155" s="19">
        <v>34.385195065522623</v>
      </c>
    </row>
    <row r="156" spans="1:3" x14ac:dyDescent="0.35">
      <c r="A156" s="19">
        <v>132</v>
      </c>
      <c r="B156" s="19">
        <v>298.69304032588849</v>
      </c>
      <c r="C156" s="19">
        <v>-29.723040325888462</v>
      </c>
    </row>
    <row r="157" spans="1:3" x14ac:dyDescent="0.35">
      <c r="A157" s="19">
        <v>133</v>
      </c>
      <c r="B157" s="19">
        <v>371.40507389854702</v>
      </c>
      <c r="C157" s="19">
        <v>-106.14507389854703</v>
      </c>
    </row>
    <row r="158" spans="1:3" x14ac:dyDescent="0.35">
      <c r="A158" s="19">
        <v>134</v>
      </c>
      <c r="B158" s="19">
        <v>312.97363037353534</v>
      </c>
      <c r="C158" s="19">
        <v>-134.06363037353535</v>
      </c>
    </row>
    <row r="159" spans="1:3" x14ac:dyDescent="0.35">
      <c r="A159" s="19">
        <v>135</v>
      </c>
      <c r="B159" s="19">
        <v>291.69137477045581</v>
      </c>
      <c r="C159" s="19">
        <v>64.808625229544191</v>
      </c>
    </row>
    <row r="160" spans="1:3" x14ac:dyDescent="0.35">
      <c r="A160" s="19">
        <v>136</v>
      </c>
      <c r="B160" s="19">
        <v>286.87619424812323</v>
      </c>
      <c r="C160" s="19">
        <v>-57.226194248123221</v>
      </c>
    </row>
    <row r="161" spans="1:3" x14ac:dyDescent="0.35">
      <c r="A161" s="19">
        <v>137</v>
      </c>
      <c r="B161" s="19">
        <v>178.6223726655065</v>
      </c>
      <c r="C161" s="19">
        <v>-57.082372665506497</v>
      </c>
    </row>
    <row r="162" spans="1:3" x14ac:dyDescent="0.35">
      <c r="A162" s="19">
        <v>138</v>
      </c>
      <c r="B162" s="19">
        <v>281.90659102682361</v>
      </c>
      <c r="C162" s="19">
        <v>-13.906591026823605</v>
      </c>
    </row>
    <row r="163" spans="1:3" x14ac:dyDescent="0.35">
      <c r="A163" s="19">
        <v>139</v>
      </c>
      <c r="B163" s="19">
        <v>501.76239907420381</v>
      </c>
      <c r="C163" s="19">
        <v>-75.602399074203788</v>
      </c>
    </row>
    <row r="164" spans="1:3" x14ac:dyDescent="0.35">
      <c r="A164" s="19">
        <v>140</v>
      </c>
      <c r="B164" s="19">
        <v>521.45480279928279</v>
      </c>
      <c r="C164" s="19">
        <v>-205.1348027992828</v>
      </c>
    </row>
    <row r="165" spans="1:3" x14ac:dyDescent="0.35">
      <c r="A165" s="19">
        <v>141</v>
      </c>
      <c r="B165" s="19">
        <v>431.145600757983</v>
      </c>
      <c r="C165" s="19">
        <v>61.354399242016996</v>
      </c>
    </row>
    <row r="166" spans="1:3" x14ac:dyDescent="0.35">
      <c r="A166" s="19">
        <v>142</v>
      </c>
      <c r="B166" s="19">
        <v>406.72224707364421</v>
      </c>
      <c r="C166" s="19">
        <v>-174.3922470736442</v>
      </c>
    </row>
    <row r="167" spans="1:3" x14ac:dyDescent="0.35">
      <c r="A167" s="19">
        <v>143</v>
      </c>
      <c r="B167" s="19">
        <v>135.27521914412867</v>
      </c>
      <c r="C167" s="19">
        <v>30.694780855871329</v>
      </c>
    </row>
    <row r="168" spans="1:3" x14ac:dyDescent="0.35">
      <c r="A168" s="19">
        <v>144</v>
      </c>
      <c r="B168" s="19">
        <v>556.84567771706884</v>
      </c>
      <c r="C168" s="19">
        <v>118.65432228293116</v>
      </c>
    </row>
    <row r="169" spans="1:3" x14ac:dyDescent="0.35">
      <c r="A169" s="19">
        <v>145</v>
      </c>
      <c r="B169" s="19">
        <v>117.17617690384486</v>
      </c>
      <c r="C169" s="19">
        <v>17.483823096155135</v>
      </c>
    </row>
    <row r="170" spans="1:3" x14ac:dyDescent="0.35">
      <c r="A170" s="19">
        <v>146</v>
      </c>
      <c r="B170" s="19">
        <v>474.14881281347988</v>
      </c>
      <c r="C170" s="19">
        <v>13.211187186520135</v>
      </c>
    </row>
    <row r="171" spans="1:3" x14ac:dyDescent="0.35">
      <c r="A171" s="19">
        <v>147</v>
      </c>
      <c r="B171" s="19">
        <v>231.57181037719195</v>
      </c>
      <c r="C171" s="19">
        <v>83.168189622808057</v>
      </c>
    </row>
    <row r="172" spans="1:3" x14ac:dyDescent="0.35">
      <c r="A172" s="19">
        <v>148</v>
      </c>
      <c r="B172" s="19">
        <v>107.61600799507364</v>
      </c>
      <c r="C172" s="19">
        <v>3.773992004926356</v>
      </c>
    </row>
    <row r="173" spans="1:3" x14ac:dyDescent="0.35">
      <c r="A173" s="19">
        <v>149</v>
      </c>
      <c r="B173" s="19">
        <v>309.49210043318988</v>
      </c>
      <c r="C173" s="19">
        <v>8.9778995668101516</v>
      </c>
    </row>
    <row r="174" spans="1:3" x14ac:dyDescent="0.35">
      <c r="A174" s="19">
        <v>150</v>
      </c>
      <c r="B174" s="19">
        <v>260.5050087927242</v>
      </c>
      <c r="C174" s="19">
        <v>41.244991207275802</v>
      </c>
    </row>
    <row r="175" spans="1:3" x14ac:dyDescent="0.35">
      <c r="A175" s="19">
        <v>151</v>
      </c>
      <c r="B175" s="19">
        <v>304.43826664881743</v>
      </c>
      <c r="C175" s="19">
        <v>108.92173335118258</v>
      </c>
    </row>
    <row r="176" spans="1:3" x14ac:dyDescent="0.35">
      <c r="A176" s="19">
        <v>152</v>
      </c>
      <c r="B176" s="19">
        <v>301.61654278587616</v>
      </c>
      <c r="C176" s="19">
        <v>-14.936542785876156</v>
      </c>
    </row>
    <row r="177" spans="1:3" x14ac:dyDescent="0.35">
      <c r="A177" s="19">
        <v>153</v>
      </c>
      <c r="B177" s="19">
        <v>410.05988313540689</v>
      </c>
      <c r="C177" s="19">
        <v>146.25011686459305</v>
      </c>
    </row>
    <row r="178" spans="1:3" x14ac:dyDescent="0.35">
      <c r="A178" s="19">
        <v>154</v>
      </c>
      <c r="B178" s="19">
        <v>369.1308486955794</v>
      </c>
      <c r="C178" s="19">
        <v>-36.940848695579405</v>
      </c>
    </row>
    <row r="179" spans="1:3" x14ac:dyDescent="0.35">
      <c r="A179" s="19">
        <v>155</v>
      </c>
      <c r="B179" s="19">
        <v>589.06035848564829</v>
      </c>
      <c r="C179" s="19">
        <v>-252.82035848564828</v>
      </c>
    </row>
    <row r="180" spans="1:3" x14ac:dyDescent="0.35">
      <c r="A180" s="19">
        <v>156</v>
      </c>
      <c r="B180" s="19">
        <v>132.30609179580983</v>
      </c>
      <c r="C180" s="19">
        <v>48.083908204190152</v>
      </c>
    </row>
    <row r="181" spans="1:3" x14ac:dyDescent="0.35">
      <c r="A181" s="19">
        <v>157</v>
      </c>
      <c r="B181" s="19">
        <v>376.77126268764806</v>
      </c>
      <c r="C181" s="19">
        <v>107.57873731235196</v>
      </c>
    </row>
    <row r="182" spans="1:3" x14ac:dyDescent="0.35">
      <c r="A182" s="19">
        <v>158</v>
      </c>
      <c r="B182" s="19">
        <v>437.97178597368048</v>
      </c>
      <c r="C182" s="19">
        <v>124.84821402631957</v>
      </c>
    </row>
    <row r="183" spans="1:3" x14ac:dyDescent="0.35">
      <c r="A183" s="19">
        <v>159</v>
      </c>
      <c r="B183" s="19">
        <v>391.51512083219569</v>
      </c>
      <c r="C183" s="19">
        <v>55.824879167804283</v>
      </c>
    </row>
    <row r="184" spans="1:3" x14ac:dyDescent="0.35">
      <c r="A184" s="19">
        <v>160</v>
      </c>
      <c r="B184" s="19">
        <v>568.49757227548298</v>
      </c>
      <c r="C184" s="19">
        <v>80.552427724516974</v>
      </c>
    </row>
    <row r="185" spans="1:3" x14ac:dyDescent="0.35">
      <c r="A185" s="19">
        <v>161</v>
      </c>
      <c r="B185" s="19">
        <v>223.86120424922927</v>
      </c>
      <c r="C185" s="19">
        <v>-18.861204249229274</v>
      </c>
    </row>
    <row r="186" spans="1:3" x14ac:dyDescent="0.35">
      <c r="A186" s="19">
        <v>162</v>
      </c>
      <c r="B186" s="19">
        <v>204.38990575221655</v>
      </c>
      <c r="C186" s="19">
        <v>58.930094247783444</v>
      </c>
    </row>
    <row r="187" spans="1:3" x14ac:dyDescent="0.35">
      <c r="A187" s="19">
        <v>163</v>
      </c>
      <c r="B187" s="19">
        <v>388.58108955182394</v>
      </c>
      <c r="C187" s="19">
        <v>55.408910448176073</v>
      </c>
    </row>
    <row r="188" spans="1:3" x14ac:dyDescent="0.35">
      <c r="A188" s="19">
        <v>164</v>
      </c>
      <c r="B188" s="19">
        <v>384.40465746612728</v>
      </c>
      <c r="C188" s="19">
        <v>10.905342533872727</v>
      </c>
    </row>
    <row r="189" spans="1:3" x14ac:dyDescent="0.35">
      <c r="A189" s="19">
        <v>165</v>
      </c>
      <c r="B189" s="19">
        <v>289.35397664518359</v>
      </c>
      <c r="C189" s="19">
        <v>45.686023354816427</v>
      </c>
    </row>
    <row r="190" spans="1:3" x14ac:dyDescent="0.35">
      <c r="A190" s="19">
        <v>166</v>
      </c>
      <c r="B190" s="19">
        <v>259.3924634388033</v>
      </c>
      <c r="C190" s="19">
        <v>74.457536561196719</v>
      </c>
    </row>
    <row r="191" spans="1:3" x14ac:dyDescent="0.35">
      <c r="A191" s="19">
        <v>167</v>
      </c>
      <c r="B191" s="19">
        <v>459.22245511560766</v>
      </c>
      <c r="C191" s="19">
        <v>71.837544884392287</v>
      </c>
    </row>
    <row r="192" spans="1:3" x14ac:dyDescent="0.35">
      <c r="A192" s="19">
        <v>168</v>
      </c>
      <c r="B192" s="19">
        <v>200.23453130728811</v>
      </c>
      <c r="C192" s="19">
        <v>31.955468692711889</v>
      </c>
    </row>
    <row r="193" spans="1:3" x14ac:dyDescent="0.35">
      <c r="A193" s="19">
        <v>169</v>
      </c>
      <c r="B193" s="19">
        <v>390.42012351224838</v>
      </c>
      <c r="C193" s="19">
        <v>-167.38012351224839</v>
      </c>
    </row>
    <row r="194" spans="1:3" x14ac:dyDescent="0.35">
      <c r="A194" s="19">
        <v>170</v>
      </c>
      <c r="B194" s="19">
        <v>295.87833567653661</v>
      </c>
      <c r="C194" s="19">
        <v>127.04166432346341</v>
      </c>
    </row>
    <row r="195" spans="1:3" x14ac:dyDescent="0.35">
      <c r="A195" s="19">
        <v>171</v>
      </c>
      <c r="B195" s="19">
        <v>360.44106227189457</v>
      </c>
      <c r="C195" s="19">
        <v>-102.99106227189458</v>
      </c>
    </row>
    <row r="196" spans="1:3" x14ac:dyDescent="0.35">
      <c r="A196" s="19">
        <v>172</v>
      </c>
      <c r="B196" s="19">
        <v>416.60529980752807</v>
      </c>
      <c r="C196" s="19">
        <v>-35.85529980752807</v>
      </c>
    </row>
    <row r="197" spans="1:3" x14ac:dyDescent="0.35">
      <c r="A197" s="19">
        <v>173</v>
      </c>
      <c r="B197" s="19">
        <v>246.19634189071971</v>
      </c>
      <c r="C197" s="19">
        <v>-20.826341890719704</v>
      </c>
    </row>
    <row r="198" spans="1:3" x14ac:dyDescent="0.35">
      <c r="A198" s="19">
        <v>174</v>
      </c>
      <c r="B198" s="19">
        <v>566.95334528581361</v>
      </c>
      <c r="C198" s="19">
        <v>15.606654714186334</v>
      </c>
    </row>
    <row r="199" spans="1:3" x14ac:dyDescent="0.35">
      <c r="A199" s="19">
        <v>175</v>
      </c>
      <c r="B199" s="19">
        <v>355.04679662843591</v>
      </c>
      <c r="C199" s="19">
        <v>-10.136796628435889</v>
      </c>
    </row>
    <row r="200" spans="1:3" x14ac:dyDescent="0.35">
      <c r="A200" s="19">
        <v>176</v>
      </c>
      <c r="B200" s="19">
        <v>289.25570765493188</v>
      </c>
      <c r="C200" s="19">
        <v>41.534292345068138</v>
      </c>
    </row>
    <row r="201" spans="1:3" x14ac:dyDescent="0.35">
      <c r="A201" s="19">
        <v>177</v>
      </c>
      <c r="B201" s="19">
        <v>357.78428992830436</v>
      </c>
      <c r="C201" s="19">
        <v>102.21571007169564</v>
      </c>
    </row>
    <row r="202" spans="1:3" x14ac:dyDescent="0.35">
      <c r="A202" s="19">
        <v>178</v>
      </c>
      <c r="B202" s="19">
        <v>384.96970416007451</v>
      </c>
      <c r="C202" s="19">
        <v>54.910295839925482</v>
      </c>
    </row>
    <row r="203" spans="1:3" x14ac:dyDescent="0.35">
      <c r="A203" s="19">
        <v>179</v>
      </c>
      <c r="B203" s="19">
        <v>248.38633653061444</v>
      </c>
      <c r="C203" s="19">
        <v>7.403663469385549</v>
      </c>
    </row>
    <row r="204" spans="1:3" x14ac:dyDescent="0.35">
      <c r="A204" s="19">
        <v>180</v>
      </c>
      <c r="B204" s="19">
        <v>174.21430653135943</v>
      </c>
      <c r="C204" s="19">
        <v>-14.474306531359417</v>
      </c>
    </row>
    <row r="205" spans="1:3" x14ac:dyDescent="0.35">
      <c r="A205" s="19">
        <v>181</v>
      </c>
      <c r="B205" s="19">
        <v>372.51060003887852</v>
      </c>
      <c r="C205" s="19">
        <v>31.879399961121464</v>
      </c>
    </row>
    <row r="206" spans="1:3" x14ac:dyDescent="0.35">
      <c r="A206" s="19">
        <v>182</v>
      </c>
      <c r="B206" s="19">
        <v>153.00926227776336</v>
      </c>
      <c r="C206" s="19">
        <v>34.560737722236638</v>
      </c>
    </row>
    <row r="207" spans="1:3" x14ac:dyDescent="0.35">
      <c r="A207" s="19">
        <v>183</v>
      </c>
      <c r="B207" s="19">
        <v>302.59572308159835</v>
      </c>
      <c r="C207" s="19">
        <v>108.27427691840165</v>
      </c>
    </row>
    <row r="208" spans="1:3" x14ac:dyDescent="0.35">
      <c r="A208" s="19">
        <v>184</v>
      </c>
      <c r="B208" s="19">
        <v>344.69345658406183</v>
      </c>
      <c r="C208" s="19">
        <v>-68.913456584061862</v>
      </c>
    </row>
    <row r="209" spans="1:3" x14ac:dyDescent="0.35">
      <c r="A209" s="19">
        <v>185</v>
      </c>
      <c r="B209" s="19">
        <v>523.17801973548194</v>
      </c>
      <c r="C209" s="19">
        <v>223.56198026451807</v>
      </c>
    </row>
    <row r="210" spans="1:3" x14ac:dyDescent="0.35">
      <c r="A210" s="19">
        <v>186</v>
      </c>
      <c r="B210" s="19">
        <v>240.98457580058562</v>
      </c>
      <c r="C210" s="19">
        <v>69.255424199414392</v>
      </c>
    </row>
    <row r="211" spans="1:3" x14ac:dyDescent="0.35">
      <c r="A211" s="19">
        <v>187</v>
      </c>
      <c r="B211" s="19">
        <v>238.46116851519412</v>
      </c>
      <c r="C211" s="19">
        <v>102.65883148480589</v>
      </c>
    </row>
    <row r="212" spans="1:3" x14ac:dyDescent="0.35">
      <c r="A212" s="19">
        <v>188</v>
      </c>
      <c r="B212" s="19">
        <v>159.95126451768607</v>
      </c>
      <c r="C212" s="19">
        <v>-68.241264517686076</v>
      </c>
    </row>
    <row r="213" spans="1:3" x14ac:dyDescent="0.35">
      <c r="A213" s="19">
        <v>189</v>
      </c>
      <c r="B213" s="19">
        <v>414.64693921608375</v>
      </c>
      <c r="C213" s="19">
        <v>-83.056939216083777</v>
      </c>
    </row>
    <row r="214" spans="1:3" x14ac:dyDescent="0.35">
      <c r="A214" s="19">
        <v>190</v>
      </c>
      <c r="B214" s="19">
        <v>266.50292680487178</v>
      </c>
      <c r="C214" s="19">
        <v>114.56707319512822</v>
      </c>
    </row>
    <row r="215" spans="1:3" x14ac:dyDescent="0.35">
      <c r="A215" s="19">
        <v>191</v>
      </c>
      <c r="B215" s="19">
        <v>262.49144623852618</v>
      </c>
      <c r="C215" s="19">
        <v>-7.2514462385261709</v>
      </c>
    </row>
    <row r="216" spans="1:3" x14ac:dyDescent="0.35">
      <c r="A216" s="19">
        <v>192</v>
      </c>
      <c r="B216" s="19">
        <v>510.35040690084224</v>
      </c>
      <c r="C216" s="19">
        <v>181.69959309915771</v>
      </c>
    </row>
    <row r="217" spans="1:3" x14ac:dyDescent="0.35">
      <c r="A217" s="19">
        <v>193</v>
      </c>
      <c r="B217" s="19">
        <v>382.75514227261687</v>
      </c>
      <c r="C217" s="19">
        <v>-38.34514227261684</v>
      </c>
    </row>
    <row r="218" spans="1:3" x14ac:dyDescent="0.35">
      <c r="A218" s="19">
        <v>194</v>
      </c>
      <c r="B218" s="19">
        <v>326.91378856209599</v>
      </c>
      <c r="C218" s="19">
        <v>70.146211437904014</v>
      </c>
    </row>
    <row r="219" spans="1:3" x14ac:dyDescent="0.35">
      <c r="A219" s="19">
        <v>195</v>
      </c>
      <c r="B219" s="19">
        <v>513.30198621518753</v>
      </c>
      <c r="C219" s="19">
        <v>72.83801378481246</v>
      </c>
    </row>
    <row r="220" spans="1:3" x14ac:dyDescent="0.35">
      <c r="A220" s="19">
        <v>196</v>
      </c>
      <c r="B220" s="19">
        <v>259.01342590497541</v>
      </c>
      <c r="C220" s="19">
        <v>74.346574095024607</v>
      </c>
    </row>
    <row r="221" spans="1:3" x14ac:dyDescent="0.35">
      <c r="A221" s="19">
        <v>197</v>
      </c>
      <c r="B221" s="19">
        <v>190.4497475636559</v>
      </c>
      <c r="C221" s="19">
        <v>55.000252436344084</v>
      </c>
    </row>
    <row r="222" spans="1:3" x14ac:dyDescent="0.35">
      <c r="A222" s="19">
        <v>198</v>
      </c>
      <c r="B222" s="19">
        <v>349.14363799974535</v>
      </c>
      <c r="C222" s="19">
        <v>29.946362000254624</v>
      </c>
    </row>
    <row r="223" spans="1:3" ht="15" thickBot="1" x14ac:dyDescent="0.4">
      <c r="A223" s="20">
        <v>199</v>
      </c>
      <c r="B223" s="20">
        <v>324.82557251924771</v>
      </c>
      <c r="C223" s="20">
        <v>116.12442748075227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9AC7-08C7-46D5-9366-D42FF47257FC}">
  <dimension ref="A1:B13"/>
  <sheetViews>
    <sheetView workbookViewId="0">
      <selection activeCell="C7" sqref="C7"/>
    </sheetView>
  </sheetViews>
  <sheetFormatPr defaultRowHeight="14.5" x14ac:dyDescent="0.35"/>
  <cols>
    <col min="1" max="1" width="19.1796875" customWidth="1"/>
    <col min="2" max="2" width="19.7265625" customWidth="1"/>
  </cols>
  <sheetData>
    <row r="1" spans="1:2" x14ac:dyDescent="0.35">
      <c r="A1" s="39" t="s">
        <v>123</v>
      </c>
      <c r="B1" s="39"/>
    </row>
    <row r="2" spans="1:2" x14ac:dyDescent="0.35">
      <c r="A2" s="32" t="s">
        <v>112</v>
      </c>
      <c r="B2" s="32">
        <v>976.08879999999965</v>
      </c>
    </row>
    <row r="3" spans="1:2" x14ac:dyDescent="0.35">
      <c r="A3" s="32" t="s">
        <v>84</v>
      </c>
      <c r="B3" s="32">
        <v>21.161850448978406</v>
      </c>
    </row>
    <row r="4" spans="1:2" x14ac:dyDescent="0.35">
      <c r="A4" s="32" t="s">
        <v>113</v>
      </c>
      <c r="B4" s="32">
        <v>976.72</v>
      </c>
    </row>
    <row r="5" spans="1:2" x14ac:dyDescent="0.35">
      <c r="A5" s="32" t="s">
        <v>114</v>
      </c>
      <c r="B5" s="32">
        <v>299.27375909856431</v>
      </c>
    </row>
    <row r="6" spans="1:2" x14ac:dyDescent="0.35">
      <c r="A6" s="32" t="s">
        <v>115</v>
      </c>
      <c r="B6" s="32">
        <v>89564.782884985514</v>
      </c>
    </row>
    <row r="7" spans="1:2" x14ac:dyDescent="0.35">
      <c r="A7" s="32" t="s">
        <v>116</v>
      </c>
      <c r="B7" s="32">
        <v>-8.8595231919740502E-2</v>
      </c>
    </row>
    <row r="8" spans="1:2" x14ac:dyDescent="0.35">
      <c r="A8" s="32" t="s">
        <v>117</v>
      </c>
      <c r="B8" s="32">
        <v>0.14685796564193557</v>
      </c>
    </row>
    <row r="9" spans="1:2" x14ac:dyDescent="0.35">
      <c r="A9" s="32" t="s">
        <v>118</v>
      </c>
      <c r="B9" s="32">
        <v>1665.15</v>
      </c>
    </row>
    <row r="10" spans="1:2" x14ac:dyDescent="0.35">
      <c r="A10" s="32" t="s">
        <v>119</v>
      </c>
      <c r="B10" s="32">
        <v>258.51</v>
      </c>
    </row>
    <row r="11" spans="1:2" x14ac:dyDescent="0.35">
      <c r="A11" s="32" t="s">
        <v>120</v>
      </c>
      <c r="B11" s="32">
        <v>1923.66</v>
      </c>
    </row>
    <row r="12" spans="1:2" x14ac:dyDescent="0.35">
      <c r="A12" s="32" t="s">
        <v>121</v>
      </c>
      <c r="B12" s="32">
        <v>195217.75999999992</v>
      </c>
    </row>
    <row r="13" spans="1:2" x14ac:dyDescent="0.35">
      <c r="A13" s="32" t="s">
        <v>122</v>
      </c>
      <c r="B13" s="32">
        <v>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4E0B-1445-4D12-A9F3-34F986110923}">
  <dimension ref="A1:N201"/>
  <sheetViews>
    <sheetView topLeftCell="D1" workbookViewId="0">
      <selection activeCell="R4" sqref="R4"/>
    </sheetView>
  </sheetViews>
  <sheetFormatPr defaultRowHeight="14.5" x14ac:dyDescent="0.35"/>
  <cols>
    <col min="1" max="1" width="13.81640625" customWidth="1"/>
    <col min="2" max="2" width="16.90625" customWidth="1"/>
    <col min="4" max="4" width="17.90625" customWidth="1"/>
    <col min="6" max="7" width="10.1796875" customWidth="1"/>
    <col min="8" max="8" width="12.7265625" customWidth="1"/>
    <col min="12" max="12" width="12.453125" bestFit="1" customWidth="1"/>
    <col min="13" max="13" width="11.54296875" bestFit="1" customWidth="1"/>
  </cols>
  <sheetData>
    <row r="1" spans="1:14" ht="29.5" thickBot="1" x14ac:dyDescent="0.4">
      <c r="A1" s="36" t="s">
        <v>0</v>
      </c>
      <c r="B1" s="33" t="s">
        <v>1</v>
      </c>
      <c r="C1" s="33" t="s">
        <v>2</v>
      </c>
      <c r="D1" s="33" t="s">
        <v>3</v>
      </c>
      <c r="E1" s="33" t="s">
        <v>4</v>
      </c>
      <c r="F1" s="33" t="s">
        <v>5</v>
      </c>
      <c r="G1" s="33" t="s">
        <v>6</v>
      </c>
      <c r="H1" s="33" t="s">
        <v>7</v>
      </c>
      <c r="I1" s="33" t="s">
        <v>8</v>
      </c>
      <c r="J1" s="35" t="s">
        <v>126</v>
      </c>
      <c r="K1" s="34"/>
    </row>
    <row r="2" spans="1:14" ht="15" thickBot="1" x14ac:dyDescent="0.4">
      <c r="A2" s="4" t="s">
        <v>9</v>
      </c>
      <c r="B2" s="1" t="s">
        <v>10</v>
      </c>
      <c r="C2" s="1" t="s">
        <v>11</v>
      </c>
      <c r="D2" s="1" t="s">
        <v>12</v>
      </c>
      <c r="E2" s="2">
        <v>1036.0899999999999</v>
      </c>
      <c r="F2" s="2">
        <v>4</v>
      </c>
      <c r="G2" s="2">
        <v>0.2</v>
      </c>
      <c r="H2" s="3">
        <v>45392</v>
      </c>
      <c r="I2" s="2">
        <v>331.55</v>
      </c>
      <c r="J2" t="str">
        <f>TEXT(H2,"mmm")</f>
        <v>Apr</v>
      </c>
      <c r="L2" s="14" t="s">
        <v>76</v>
      </c>
      <c r="M2" t="s">
        <v>78</v>
      </c>
      <c r="N2" s="37" t="s">
        <v>139</v>
      </c>
    </row>
    <row r="3" spans="1:14" ht="29.5" thickBot="1" x14ac:dyDescent="0.4">
      <c r="A3" s="4" t="s">
        <v>13</v>
      </c>
      <c r="B3" s="1" t="s">
        <v>14</v>
      </c>
      <c r="C3" s="1" t="s">
        <v>11</v>
      </c>
      <c r="D3" s="1" t="s">
        <v>15</v>
      </c>
      <c r="E3" s="2">
        <v>1101.28</v>
      </c>
      <c r="F3" s="2">
        <v>3</v>
      </c>
      <c r="G3" s="2">
        <v>0.2</v>
      </c>
      <c r="H3" s="3">
        <v>45393</v>
      </c>
      <c r="I3" s="2">
        <v>440.51</v>
      </c>
      <c r="J3" t="str">
        <f t="shared" ref="J3:J66" si="0">TEXT(H3,"mmm")</f>
        <v>Apr</v>
      </c>
      <c r="L3" s="15" t="s">
        <v>127</v>
      </c>
      <c r="M3" s="16">
        <v>14914.650000000001</v>
      </c>
      <c r="N3">
        <f>GETPIVOTDATA("Sales",$L$2,"month","Feb")-GETPIVOTDATA("Sales",$L$2,"month","Jan")</f>
        <v>-908.29000000000269</v>
      </c>
    </row>
    <row r="4" spans="1:14" ht="29.5" thickBot="1" x14ac:dyDescent="0.4">
      <c r="A4" s="4" t="s">
        <v>16</v>
      </c>
      <c r="B4" s="1" t="s">
        <v>17</v>
      </c>
      <c r="C4" s="1" t="s">
        <v>18</v>
      </c>
      <c r="D4" s="1" t="s">
        <v>12</v>
      </c>
      <c r="E4" s="2">
        <v>713.34</v>
      </c>
      <c r="F4" s="2">
        <v>17</v>
      </c>
      <c r="G4" s="2">
        <v>0</v>
      </c>
      <c r="H4" s="3">
        <v>45396</v>
      </c>
      <c r="I4" s="2">
        <v>285.33999999999997</v>
      </c>
      <c r="J4" t="str">
        <f t="shared" si="0"/>
        <v>Apr</v>
      </c>
      <c r="L4" s="15" t="s">
        <v>128</v>
      </c>
      <c r="M4" s="16">
        <v>14006.359999999999</v>
      </c>
      <c r="N4">
        <f>GETPIVOTDATA("Sales",$L$2,"month","Mar")-GETPIVOTDATA("Sales",$L$2,"month","Feb")</f>
        <v>3648.8599999999988</v>
      </c>
    </row>
    <row r="5" spans="1:14" ht="29.5" thickBot="1" x14ac:dyDescent="0.4">
      <c r="A5" s="4" t="s">
        <v>19</v>
      </c>
      <c r="B5" s="1" t="s">
        <v>14</v>
      </c>
      <c r="C5" s="1" t="s">
        <v>20</v>
      </c>
      <c r="D5" s="1" t="s">
        <v>21</v>
      </c>
      <c r="E5" s="2">
        <v>760.93</v>
      </c>
      <c r="F5" s="2">
        <v>4</v>
      </c>
      <c r="G5" s="2">
        <v>0.15</v>
      </c>
      <c r="H5" s="3">
        <v>45396</v>
      </c>
      <c r="I5" s="2">
        <v>161.69999999999999</v>
      </c>
      <c r="J5" t="str">
        <f t="shared" si="0"/>
        <v>Apr</v>
      </c>
      <c r="L5" s="15" t="s">
        <v>129</v>
      </c>
      <c r="M5" s="16">
        <v>17655.219999999998</v>
      </c>
      <c r="N5">
        <f>GETPIVOTDATA("Sales",$L$2,"month","Apr")-GETPIVOTDATA("Sales",$L$2,"month","Mar")</f>
        <v>4586.91</v>
      </c>
    </row>
    <row r="6" spans="1:14" ht="29.5" thickBot="1" x14ac:dyDescent="0.4">
      <c r="A6" s="4" t="s">
        <v>22</v>
      </c>
      <c r="B6" s="1" t="s">
        <v>23</v>
      </c>
      <c r="C6" s="1" t="s">
        <v>24</v>
      </c>
      <c r="D6" s="1" t="s">
        <v>12</v>
      </c>
      <c r="E6" s="2">
        <v>847</v>
      </c>
      <c r="F6" s="2">
        <v>12</v>
      </c>
      <c r="G6" s="2">
        <v>0.2</v>
      </c>
      <c r="H6" s="3">
        <v>45397</v>
      </c>
      <c r="I6" s="2">
        <v>271.04000000000002</v>
      </c>
      <c r="J6" t="str">
        <f t="shared" si="0"/>
        <v>Apr</v>
      </c>
      <c r="L6" s="15" t="s">
        <v>130</v>
      </c>
      <c r="M6" s="16">
        <v>22242.129999999997</v>
      </c>
      <c r="N6">
        <f>GETPIVOTDATA("Sales",$L$2,"month","May")-GETPIVOTDATA("Sales",$L$2,"month","Apr")</f>
        <v>-3734.7900000000009</v>
      </c>
    </row>
    <row r="7" spans="1:14" ht="29.5" thickBot="1" x14ac:dyDescent="0.4">
      <c r="A7" s="4" t="s">
        <v>25</v>
      </c>
      <c r="B7" s="1" t="s">
        <v>26</v>
      </c>
      <c r="C7" s="1" t="s">
        <v>24</v>
      </c>
      <c r="D7" s="1" t="s">
        <v>27</v>
      </c>
      <c r="E7" s="2">
        <v>965.64</v>
      </c>
      <c r="F7" s="2">
        <v>8</v>
      </c>
      <c r="G7" s="2">
        <v>0.1</v>
      </c>
      <c r="H7" s="3">
        <v>45398</v>
      </c>
      <c r="I7" s="2">
        <v>304.18</v>
      </c>
      <c r="J7" t="str">
        <f t="shared" si="0"/>
        <v>Apr</v>
      </c>
      <c r="L7" s="15" t="s">
        <v>131</v>
      </c>
      <c r="M7" s="16">
        <v>18507.339999999997</v>
      </c>
      <c r="N7">
        <f>GETPIVOTDATA("Sales",$L$2,"month","Jun")-GETPIVOTDATA("Sales",$L$2,"month","May")</f>
        <v>1680.1700000000019</v>
      </c>
    </row>
    <row r="8" spans="1:14" ht="29.5" thickBot="1" x14ac:dyDescent="0.4">
      <c r="A8" s="4" t="s">
        <v>28</v>
      </c>
      <c r="B8" s="1" t="s">
        <v>29</v>
      </c>
      <c r="C8" s="1" t="s">
        <v>11</v>
      </c>
      <c r="D8" s="1" t="s">
        <v>21</v>
      </c>
      <c r="E8" s="2">
        <v>1317.53</v>
      </c>
      <c r="F8" s="2">
        <v>12</v>
      </c>
      <c r="G8" s="2">
        <v>0.05</v>
      </c>
      <c r="H8" s="3">
        <v>45398</v>
      </c>
      <c r="I8" s="2">
        <v>312.91000000000003</v>
      </c>
      <c r="J8" t="str">
        <f t="shared" si="0"/>
        <v>Apr</v>
      </c>
      <c r="L8" s="15" t="s">
        <v>132</v>
      </c>
      <c r="M8" s="16">
        <v>20187.509999999998</v>
      </c>
      <c r="N8">
        <f>GETPIVOTDATA("Sales",$L$2,"month","Jul")-GETPIVOTDATA("Sales",$L$2,"month","Jun")</f>
        <v>-8578.4699999999993</v>
      </c>
    </row>
    <row r="9" spans="1:14" ht="15" thickBot="1" x14ac:dyDescent="0.4">
      <c r="A9" s="4" t="s">
        <v>30</v>
      </c>
      <c r="B9" s="1" t="s">
        <v>31</v>
      </c>
      <c r="C9" s="1" t="s">
        <v>18</v>
      </c>
      <c r="D9" s="1" t="s">
        <v>27</v>
      </c>
      <c r="E9" s="2">
        <v>1074.47</v>
      </c>
      <c r="F9" s="2">
        <v>6</v>
      </c>
      <c r="G9" s="2">
        <v>0.2</v>
      </c>
      <c r="H9" s="3">
        <v>45401</v>
      </c>
      <c r="I9" s="2">
        <v>300.85000000000002</v>
      </c>
      <c r="J9" t="str">
        <f t="shared" si="0"/>
        <v>Apr</v>
      </c>
      <c r="L9" s="15" t="s">
        <v>133</v>
      </c>
      <c r="M9" s="16">
        <v>11609.039999999999</v>
      </c>
      <c r="N9">
        <f>GETPIVOTDATA("Sales",$L$2,"month","Aug")-GETPIVOTDATA("Sales",$L$2,"month","Jul")</f>
        <v>-1517.3400000000001</v>
      </c>
    </row>
    <row r="10" spans="1:14" ht="29.5" thickBot="1" x14ac:dyDescent="0.4">
      <c r="A10" s="4" t="s">
        <v>32</v>
      </c>
      <c r="B10" s="1" t="s">
        <v>33</v>
      </c>
      <c r="C10" s="1" t="s">
        <v>34</v>
      </c>
      <c r="D10" s="1" t="s">
        <v>12</v>
      </c>
      <c r="E10" s="2">
        <v>501.54</v>
      </c>
      <c r="F10" s="2">
        <v>11</v>
      </c>
      <c r="G10" s="2">
        <v>0.05</v>
      </c>
      <c r="H10" s="3">
        <v>45401</v>
      </c>
      <c r="I10" s="2">
        <v>190.59</v>
      </c>
      <c r="J10" t="str">
        <f t="shared" si="0"/>
        <v>Apr</v>
      </c>
      <c r="L10" s="15" t="s">
        <v>134</v>
      </c>
      <c r="M10" s="16">
        <v>10091.699999999999</v>
      </c>
      <c r="N10">
        <f>GETPIVOTDATA("Sales",$L$2,"month","Sep")-GETPIVOTDATA("Sales",$L$2,"month","Aug")</f>
        <v>10441.799999999997</v>
      </c>
    </row>
    <row r="11" spans="1:14" ht="29.5" thickBot="1" x14ac:dyDescent="0.4">
      <c r="A11" s="4" t="s">
        <v>35</v>
      </c>
      <c r="B11" s="1" t="s">
        <v>36</v>
      </c>
      <c r="C11" s="1" t="s">
        <v>34</v>
      </c>
      <c r="D11" s="1" t="s">
        <v>15</v>
      </c>
      <c r="E11" s="2">
        <v>737.31</v>
      </c>
      <c r="F11" s="2">
        <v>2</v>
      </c>
      <c r="G11" s="2">
        <v>0.05</v>
      </c>
      <c r="H11" s="3">
        <v>45401</v>
      </c>
      <c r="I11" s="2">
        <v>350.22</v>
      </c>
      <c r="J11" t="str">
        <f t="shared" si="0"/>
        <v>Apr</v>
      </c>
      <c r="L11" s="15" t="s">
        <v>135</v>
      </c>
      <c r="M11" s="16">
        <v>20533.499999999996</v>
      </c>
      <c r="N11">
        <f>GETPIVOTDATA("Sales",$L$2,"month","Oct")-GETPIVOTDATA("Sales",$L$2,"month","Sep")</f>
        <v>-6318.2599999999948</v>
      </c>
    </row>
    <row r="12" spans="1:14" ht="29.5" thickBot="1" x14ac:dyDescent="0.4">
      <c r="A12" s="4" t="s">
        <v>37</v>
      </c>
      <c r="B12" s="1" t="s">
        <v>38</v>
      </c>
      <c r="C12" s="1" t="s">
        <v>11</v>
      </c>
      <c r="D12" s="1" t="s">
        <v>39</v>
      </c>
      <c r="E12" s="2">
        <v>1572.82</v>
      </c>
      <c r="F12" s="2">
        <v>6</v>
      </c>
      <c r="G12" s="2">
        <v>0.05</v>
      </c>
      <c r="H12" s="3">
        <v>45402</v>
      </c>
      <c r="I12" s="2">
        <v>672.38</v>
      </c>
      <c r="J12" t="str">
        <f t="shared" si="0"/>
        <v>Apr</v>
      </c>
      <c r="L12" s="15" t="s">
        <v>136</v>
      </c>
      <c r="M12" s="16">
        <v>14215.240000000002</v>
      </c>
      <c r="N12">
        <f>GETPIVOTDATA("Sales",$L$2,"month","Nov")-GETPIVOTDATA("Sales",$L$2,"month","Oct")</f>
        <v>5919.7900000000009</v>
      </c>
    </row>
    <row r="13" spans="1:14" ht="29.5" thickBot="1" x14ac:dyDescent="0.4">
      <c r="A13" s="4" t="s">
        <v>37</v>
      </c>
      <c r="B13" s="1" t="s">
        <v>36</v>
      </c>
      <c r="C13" s="1" t="s">
        <v>34</v>
      </c>
      <c r="D13" s="1" t="s">
        <v>12</v>
      </c>
      <c r="E13" s="2">
        <v>1343.13</v>
      </c>
      <c r="F13" s="2">
        <v>14</v>
      </c>
      <c r="G13" s="2">
        <v>0.15</v>
      </c>
      <c r="H13" s="3">
        <v>45404</v>
      </c>
      <c r="I13" s="2">
        <v>456.66</v>
      </c>
      <c r="J13" t="str">
        <f t="shared" si="0"/>
        <v>Apr</v>
      </c>
      <c r="L13" s="15" t="s">
        <v>137</v>
      </c>
      <c r="M13" s="16">
        <v>20135.030000000002</v>
      </c>
      <c r="N13">
        <f>GETPIVOTDATA("Sales",$L$2,"month","Dec")-GETPIVOTDATA("Sales",$L$2,"month","Nov")</f>
        <v>-9014.9900000000016</v>
      </c>
    </row>
    <row r="14" spans="1:14" ht="29.5" thickBot="1" x14ac:dyDescent="0.4">
      <c r="A14" s="4" t="s">
        <v>25</v>
      </c>
      <c r="B14" s="1" t="s">
        <v>26</v>
      </c>
      <c r="C14" s="1" t="s">
        <v>34</v>
      </c>
      <c r="D14" s="1" t="s">
        <v>12</v>
      </c>
      <c r="E14" s="2">
        <v>1191.58</v>
      </c>
      <c r="F14" s="2">
        <v>14</v>
      </c>
      <c r="G14" s="2">
        <v>0.05</v>
      </c>
      <c r="H14" s="3">
        <v>45406</v>
      </c>
      <c r="I14" s="2">
        <v>452.8</v>
      </c>
      <c r="J14" t="str">
        <f t="shared" si="0"/>
        <v>Apr</v>
      </c>
      <c r="L14" s="15" t="s">
        <v>138</v>
      </c>
      <c r="M14" s="16">
        <v>11120.04</v>
      </c>
      <c r="N14">
        <f>GETPIVOTDATA("Sales",$L$2,"month","Jan")-GETPIVOTDATA("Sales",$L$2,"month","Dec")</f>
        <v>3794.6100000000006</v>
      </c>
    </row>
    <row r="15" spans="1:14" ht="29.5" thickBot="1" x14ac:dyDescent="0.4">
      <c r="A15" s="4" t="s">
        <v>40</v>
      </c>
      <c r="B15" s="1" t="s">
        <v>14</v>
      </c>
      <c r="C15" s="1" t="s">
        <v>11</v>
      </c>
      <c r="D15" s="1" t="s">
        <v>27</v>
      </c>
      <c r="E15" s="2">
        <v>822.28</v>
      </c>
      <c r="F15" s="2">
        <v>7</v>
      </c>
      <c r="G15" s="2">
        <v>0.05</v>
      </c>
      <c r="H15" s="3">
        <v>45406</v>
      </c>
      <c r="I15" s="2">
        <v>273.41000000000003</v>
      </c>
      <c r="J15" t="str">
        <f t="shared" si="0"/>
        <v>Apr</v>
      </c>
      <c r="L15" s="15" t="s">
        <v>77</v>
      </c>
      <c r="M15" s="16">
        <v>195217.75999999995</v>
      </c>
    </row>
    <row r="16" spans="1:14" ht="29.5" thickBot="1" x14ac:dyDescent="0.4">
      <c r="A16" s="4" t="s">
        <v>41</v>
      </c>
      <c r="B16" s="1" t="s">
        <v>42</v>
      </c>
      <c r="C16" s="1" t="s">
        <v>24</v>
      </c>
      <c r="D16" s="1" t="s">
        <v>27</v>
      </c>
      <c r="E16" s="2">
        <v>521.66999999999996</v>
      </c>
      <c r="F16" s="2">
        <v>15</v>
      </c>
      <c r="G16" s="2">
        <v>0.15</v>
      </c>
      <c r="H16" s="3">
        <v>45409</v>
      </c>
      <c r="I16" s="2">
        <v>155.19999999999999</v>
      </c>
      <c r="J16" t="str">
        <f t="shared" si="0"/>
        <v>Apr</v>
      </c>
    </row>
    <row r="17" spans="1:10" ht="29.5" thickBot="1" x14ac:dyDescent="0.4">
      <c r="A17" s="4" t="s">
        <v>19</v>
      </c>
      <c r="B17" s="1" t="s">
        <v>43</v>
      </c>
      <c r="C17" s="1" t="s">
        <v>20</v>
      </c>
      <c r="D17" s="1" t="s">
        <v>21</v>
      </c>
      <c r="E17" s="2">
        <v>1502.93</v>
      </c>
      <c r="F17" s="2">
        <v>14</v>
      </c>
      <c r="G17" s="2">
        <v>0.2</v>
      </c>
      <c r="H17" s="3">
        <v>45410</v>
      </c>
      <c r="I17" s="2">
        <v>300.58999999999997</v>
      </c>
      <c r="J17" t="str">
        <f t="shared" si="0"/>
        <v>Apr</v>
      </c>
    </row>
    <row r="18" spans="1:10" ht="29.5" thickBot="1" x14ac:dyDescent="0.4">
      <c r="A18" s="4" t="s">
        <v>44</v>
      </c>
      <c r="B18" s="1" t="s">
        <v>14</v>
      </c>
      <c r="C18" s="1" t="s">
        <v>20</v>
      </c>
      <c r="D18" s="1" t="s">
        <v>12</v>
      </c>
      <c r="E18" s="2">
        <v>877.58</v>
      </c>
      <c r="F18" s="2">
        <v>10</v>
      </c>
      <c r="G18" s="2">
        <v>0.15</v>
      </c>
      <c r="H18" s="3">
        <v>45411</v>
      </c>
      <c r="I18" s="2">
        <v>298.38</v>
      </c>
      <c r="J18" t="str">
        <f t="shared" si="0"/>
        <v>Apr</v>
      </c>
    </row>
    <row r="19" spans="1:10" ht="29.5" thickBot="1" x14ac:dyDescent="0.4">
      <c r="A19" s="4" t="s">
        <v>28</v>
      </c>
      <c r="B19" s="1" t="s">
        <v>45</v>
      </c>
      <c r="C19" s="1" t="s">
        <v>11</v>
      </c>
      <c r="D19" s="1" t="s">
        <v>12</v>
      </c>
      <c r="E19" s="2">
        <v>636.70000000000005</v>
      </c>
      <c r="F19" s="2">
        <v>4</v>
      </c>
      <c r="G19" s="2">
        <v>0.2</v>
      </c>
      <c r="H19" s="3">
        <v>45411</v>
      </c>
      <c r="I19" s="2">
        <v>203.74</v>
      </c>
      <c r="J19" t="str">
        <f t="shared" si="0"/>
        <v>Apr</v>
      </c>
    </row>
    <row r="20" spans="1:10" ht="29.5" thickBot="1" x14ac:dyDescent="0.4">
      <c r="A20" s="4" t="s">
        <v>46</v>
      </c>
      <c r="B20" s="1" t="s">
        <v>47</v>
      </c>
      <c r="C20" s="1" t="s">
        <v>11</v>
      </c>
      <c r="D20" s="1" t="s">
        <v>12</v>
      </c>
      <c r="E20" s="2">
        <v>1506.14</v>
      </c>
      <c r="F20" s="2">
        <v>13</v>
      </c>
      <c r="G20" s="2">
        <v>0.2</v>
      </c>
      <c r="H20" s="3">
        <v>45412</v>
      </c>
      <c r="I20" s="2">
        <v>481.96</v>
      </c>
      <c r="J20" t="str">
        <f t="shared" si="0"/>
        <v>Apr</v>
      </c>
    </row>
    <row r="21" spans="1:10" ht="29.5" thickBot="1" x14ac:dyDescent="0.4">
      <c r="A21" s="4" t="s">
        <v>30</v>
      </c>
      <c r="B21" s="1" t="s">
        <v>31</v>
      </c>
      <c r="C21" s="1" t="s">
        <v>34</v>
      </c>
      <c r="D21" s="1" t="s">
        <v>21</v>
      </c>
      <c r="E21" s="2">
        <v>645.02</v>
      </c>
      <c r="F21" s="2">
        <v>4</v>
      </c>
      <c r="G21" s="2">
        <v>0</v>
      </c>
      <c r="H21" s="3">
        <v>45414</v>
      </c>
      <c r="I21" s="2">
        <v>161.26</v>
      </c>
      <c r="J21" t="str">
        <f t="shared" si="0"/>
        <v>May</v>
      </c>
    </row>
    <row r="22" spans="1:10" ht="15" thickBot="1" x14ac:dyDescent="0.4">
      <c r="A22" s="4" t="s">
        <v>25</v>
      </c>
      <c r="B22" s="1" t="s">
        <v>48</v>
      </c>
      <c r="C22" s="1" t="s">
        <v>20</v>
      </c>
      <c r="D22" s="1" t="s">
        <v>15</v>
      </c>
      <c r="E22" s="2">
        <v>953.3</v>
      </c>
      <c r="F22" s="2">
        <v>11</v>
      </c>
      <c r="G22" s="2">
        <v>0</v>
      </c>
      <c r="H22" s="3">
        <v>45415</v>
      </c>
      <c r="I22" s="2">
        <v>476.65</v>
      </c>
      <c r="J22" t="str">
        <f t="shared" si="0"/>
        <v>May</v>
      </c>
    </row>
    <row r="23" spans="1:10" ht="29.5" thickBot="1" x14ac:dyDescent="0.4">
      <c r="A23" s="4" t="s">
        <v>49</v>
      </c>
      <c r="B23" s="1" t="s">
        <v>14</v>
      </c>
      <c r="C23" s="1" t="s">
        <v>24</v>
      </c>
      <c r="D23" s="1" t="s">
        <v>21</v>
      </c>
      <c r="E23" s="2">
        <v>388.56</v>
      </c>
      <c r="F23" s="2">
        <v>14</v>
      </c>
      <c r="G23" s="2">
        <v>0.15</v>
      </c>
      <c r="H23" s="3">
        <v>45416</v>
      </c>
      <c r="I23" s="2">
        <v>82.57</v>
      </c>
      <c r="J23" t="str">
        <f t="shared" si="0"/>
        <v>May</v>
      </c>
    </row>
    <row r="24" spans="1:10" ht="15" thickBot="1" x14ac:dyDescent="0.4">
      <c r="A24" s="4" t="s">
        <v>9</v>
      </c>
      <c r="B24" s="1" t="s">
        <v>31</v>
      </c>
      <c r="C24" s="1" t="s">
        <v>11</v>
      </c>
      <c r="D24" s="1" t="s">
        <v>12</v>
      </c>
      <c r="E24" s="2">
        <v>743.17</v>
      </c>
      <c r="F24" s="2">
        <v>9</v>
      </c>
      <c r="G24" s="2">
        <v>0</v>
      </c>
      <c r="H24" s="3">
        <v>45416</v>
      </c>
      <c r="I24" s="2">
        <v>297.27</v>
      </c>
      <c r="J24" t="str">
        <f t="shared" si="0"/>
        <v>May</v>
      </c>
    </row>
    <row r="25" spans="1:10" ht="29.5" thickBot="1" x14ac:dyDescent="0.4">
      <c r="A25" s="4" t="s">
        <v>40</v>
      </c>
      <c r="B25" s="1" t="s">
        <v>31</v>
      </c>
      <c r="C25" s="1" t="s">
        <v>34</v>
      </c>
      <c r="D25" s="1" t="s">
        <v>21</v>
      </c>
      <c r="E25" s="2">
        <v>706.37</v>
      </c>
      <c r="F25" s="2">
        <v>6</v>
      </c>
      <c r="G25" s="2">
        <v>0</v>
      </c>
      <c r="H25" s="3">
        <v>45416</v>
      </c>
      <c r="I25" s="2">
        <v>176.59</v>
      </c>
      <c r="J25" t="str">
        <f t="shared" si="0"/>
        <v>May</v>
      </c>
    </row>
    <row r="26" spans="1:10" ht="29.5" thickBot="1" x14ac:dyDescent="0.4">
      <c r="A26" s="4" t="s">
        <v>13</v>
      </c>
      <c r="B26" s="1" t="s">
        <v>31</v>
      </c>
      <c r="C26" s="1" t="s">
        <v>34</v>
      </c>
      <c r="D26" s="1" t="s">
        <v>39</v>
      </c>
      <c r="E26" s="2">
        <v>925.31</v>
      </c>
      <c r="F26" s="2">
        <v>8</v>
      </c>
      <c r="G26" s="2">
        <v>0.1</v>
      </c>
      <c r="H26" s="3">
        <v>45418</v>
      </c>
      <c r="I26" s="2">
        <v>374.75</v>
      </c>
      <c r="J26" t="str">
        <f t="shared" si="0"/>
        <v>May</v>
      </c>
    </row>
    <row r="27" spans="1:10" ht="29.5" thickBot="1" x14ac:dyDescent="0.4">
      <c r="A27" s="4" t="s">
        <v>35</v>
      </c>
      <c r="B27" s="1" t="s">
        <v>50</v>
      </c>
      <c r="C27" s="1" t="s">
        <v>20</v>
      </c>
      <c r="D27" s="1" t="s">
        <v>21</v>
      </c>
      <c r="E27" s="2">
        <v>1173.1199999999999</v>
      </c>
      <c r="F27" s="2">
        <v>18</v>
      </c>
      <c r="G27" s="2">
        <v>0</v>
      </c>
      <c r="H27" s="3">
        <v>45418</v>
      </c>
      <c r="I27" s="2">
        <v>293.27999999999997</v>
      </c>
      <c r="J27" t="str">
        <f t="shared" si="0"/>
        <v>May</v>
      </c>
    </row>
    <row r="28" spans="1:10" ht="29.5" thickBot="1" x14ac:dyDescent="0.4">
      <c r="A28" s="4" t="s">
        <v>22</v>
      </c>
      <c r="B28" s="1" t="s">
        <v>51</v>
      </c>
      <c r="C28" s="1" t="s">
        <v>24</v>
      </c>
      <c r="D28" s="1" t="s">
        <v>27</v>
      </c>
      <c r="E28" s="2">
        <v>675.54</v>
      </c>
      <c r="F28" s="2">
        <v>17</v>
      </c>
      <c r="G28" s="2">
        <v>0</v>
      </c>
      <c r="H28" s="3">
        <v>45420</v>
      </c>
      <c r="I28" s="2">
        <v>236.44</v>
      </c>
      <c r="J28" t="str">
        <f t="shared" si="0"/>
        <v>May</v>
      </c>
    </row>
    <row r="29" spans="1:10" ht="29.5" thickBot="1" x14ac:dyDescent="0.4">
      <c r="A29" s="4" t="s">
        <v>25</v>
      </c>
      <c r="B29" s="1" t="s">
        <v>14</v>
      </c>
      <c r="C29" s="1" t="s">
        <v>34</v>
      </c>
      <c r="D29" s="1" t="s">
        <v>12</v>
      </c>
      <c r="E29" s="2">
        <v>939.09</v>
      </c>
      <c r="F29" s="2">
        <v>2</v>
      </c>
      <c r="G29" s="2">
        <v>0.05</v>
      </c>
      <c r="H29" s="3">
        <v>45422</v>
      </c>
      <c r="I29" s="2">
        <v>356.85</v>
      </c>
      <c r="J29" t="str">
        <f t="shared" si="0"/>
        <v>May</v>
      </c>
    </row>
    <row r="30" spans="1:10" ht="29.5" thickBot="1" x14ac:dyDescent="0.4">
      <c r="A30" s="4" t="s">
        <v>52</v>
      </c>
      <c r="B30" s="1" t="s">
        <v>53</v>
      </c>
      <c r="C30" s="1" t="s">
        <v>18</v>
      </c>
      <c r="D30" s="1" t="s">
        <v>39</v>
      </c>
      <c r="E30" s="2">
        <v>983.34</v>
      </c>
      <c r="F30" s="2">
        <v>19</v>
      </c>
      <c r="G30" s="2">
        <v>0.1</v>
      </c>
      <c r="H30" s="3">
        <v>45426</v>
      </c>
      <c r="I30" s="2">
        <v>398.25</v>
      </c>
      <c r="J30" t="str">
        <f t="shared" si="0"/>
        <v>May</v>
      </c>
    </row>
    <row r="31" spans="1:10" ht="29.5" thickBot="1" x14ac:dyDescent="0.4">
      <c r="A31" s="4" t="s">
        <v>52</v>
      </c>
      <c r="B31" s="1" t="s">
        <v>23</v>
      </c>
      <c r="C31" s="1" t="s">
        <v>20</v>
      </c>
      <c r="D31" s="1" t="s">
        <v>21</v>
      </c>
      <c r="E31" s="2">
        <v>801.21</v>
      </c>
      <c r="F31" s="2">
        <v>3</v>
      </c>
      <c r="G31" s="2">
        <v>0.2</v>
      </c>
      <c r="H31" s="3">
        <v>45426</v>
      </c>
      <c r="I31" s="2">
        <v>160.24</v>
      </c>
      <c r="J31" t="str">
        <f t="shared" si="0"/>
        <v>May</v>
      </c>
    </row>
    <row r="32" spans="1:10" ht="29.5" thickBot="1" x14ac:dyDescent="0.4">
      <c r="A32" s="4" t="s">
        <v>54</v>
      </c>
      <c r="B32" s="1" t="s">
        <v>55</v>
      </c>
      <c r="C32" s="1" t="s">
        <v>24</v>
      </c>
      <c r="D32" s="1" t="s">
        <v>21</v>
      </c>
      <c r="E32" s="2">
        <v>1450.71</v>
      </c>
      <c r="F32" s="2">
        <v>5</v>
      </c>
      <c r="G32" s="2">
        <v>0.1</v>
      </c>
      <c r="H32" s="3">
        <v>45427</v>
      </c>
      <c r="I32" s="2">
        <v>326.41000000000003</v>
      </c>
      <c r="J32" t="str">
        <f t="shared" si="0"/>
        <v>May</v>
      </c>
    </row>
    <row r="33" spans="1:10" ht="15" thickBot="1" x14ac:dyDescent="0.4">
      <c r="A33" s="4" t="s">
        <v>49</v>
      </c>
      <c r="B33" s="1" t="s">
        <v>56</v>
      </c>
      <c r="C33" s="1" t="s">
        <v>34</v>
      </c>
      <c r="D33" s="1" t="s">
        <v>12</v>
      </c>
      <c r="E33" s="2">
        <v>1023.21</v>
      </c>
      <c r="F33" s="2">
        <v>18</v>
      </c>
      <c r="G33" s="2">
        <v>0.05</v>
      </c>
      <c r="H33" s="3">
        <v>45428</v>
      </c>
      <c r="I33" s="2">
        <v>388.82</v>
      </c>
      <c r="J33" t="str">
        <f t="shared" si="0"/>
        <v>May</v>
      </c>
    </row>
    <row r="34" spans="1:10" ht="29.5" thickBot="1" x14ac:dyDescent="0.4">
      <c r="A34" s="4" t="s">
        <v>28</v>
      </c>
      <c r="B34" s="1" t="s">
        <v>47</v>
      </c>
      <c r="C34" s="1" t="s">
        <v>11</v>
      </c>
      <c r="D34" s="1" t="s">
        <v>27</v>
      </c>
      <c r="E34" s="2">
        <v>853.72</v>
      </c>
      <c r="F34" s="2">
        <v>5</v>
      </c>
      <c r="G34" s="2">
        <v>0.15</v>
      </c>
      <c r="H34" s="3">
        <v>45428</v>
      </c>
      <c r="I34" s="2">
        <v>253.98</v>
      </c>
      <c r="J34" t="str">
        <f t="shared" si="0"/>
        <v>May</v>
      </c>
    </row>
    <row r="35" spans="1:10" ht="29.5" thickBot="1" x14ac:dyDescent="0.4">
      <c r="A35" s="4" t="s">
        <v>57</v>
      </c>
      <c r="B35" s="1" t="s">
        <v>43</v>
      </c>
      <c r="C35" s="1" t="s">
        <v>20</v>
      </c>
      <c r="D35" s="1" t="s">
        <v>21</v>
      </c>
      <c r="E35" s="2">
        <v>967.89</v>
      </c>
      <c r="F35" s="2">
        <v>10</v>
      </c>
      <c r="G35" s="2">
        <v>0.1</v>
      </c>
      <c r="H35" s="3">
        <v>45429</v>
      </c>
      <c r="I35" s="2">
        <v>217.78</v>
      </c>
      <c r="J35" t="str">
        <f t="shared" si="0"/>
        <v>May</v>
      </c>
    </row>
    <row r="36" spans="1:10" ht="29.5" thickBot="1" x14ac:dyDescent="0.4">
      <c r="A36" s="4" t="s">
        <v>58</v>
      </c>
      <c r="B36" s="1" t="s">
        <v>53</v>
      </c>
      <c r="C36" s="1" t="s">
        <v>24</v>
      </c>
      <c r="D36" s="1" t="s">
        <v>39</v>
      </c>
      <c r="E36" s="2">
        <v>1200.9000000000001</v>
      </c>
      <c r="F36" s="2">
        <v>14</v>
      </c>
      <c r="G36" s="2">
        <v>0.05</v>
      </c>
      <c r="H36" s="3">
        <v>45429</v>
      </c>
      <c r="I36" s="2">
        <v>513.38</v>
      </c>
      <c r="J36" t="str">
        <f t="shared" si="0"/>
        <v>May</v>
      </c>
    </row>
    <row r="37" spans="1:10" ht="29.5" thickBot="1" x14ac:dyDescent="0.4">
      <c r="A37" s="4" t="s">
        <v>13</v>
      </c>
      <c r="B37" s="1" t="s">
        <v>26</v>
      </c>
      <c r="C37" s="1" t="s">
        <v>11</v>
      </c>
      <c r="D37" s="1" t="s">
        <v>12</v>
      </c>
      <c r="E37" s="2">
        <v>472.38</v>
      </c>
      <c r="F37" s="2">
        <v>12</v>
      </c>
      <c r="G37" s="2">
        <v>0.2</v>
      </c>
      <c r="H37" s="3">
        <v>45429</v>
      </c>
      <c r="I37" s="2">
        <v>151.16</v>
      </c>
      <c r="J37" t="str">
        <f t="shared" si="0"/>
        <v>May</v>
      </c>
    </row>
    <row r="38" spans="1:10" ht="29.5" thickBot="1" x14ac:dyDescent="0.4">
      <c r="A38" s="4" t="s">
        <v>9</v>
      </c>
      <c r="B38" s="1" t="s">
        <v>55</v>
      </c>
      <c r="C38" s="1" t="s">
        <v>18</v>
      </c>
      <c r="D38" s="1" t="s">
        <v>39</v>
      </c>
      <c r="E38" s="2">
        <v>840.92</v>
      </c>
      <c r="F38" s="2">
        <v>9</v>
      </c>
      <c r="G38" s="2">
        <v>0.05</v>
      </c>
      <c r="H38" s="3">
        <v>45429</v>
      </c>
      <c r="I38" s="2">
        <v>359.49</v>
      </c>
      <c r="J38" t="str">
        <f t="shared" si="0"/>
        <v>May</v>
      </c>
    </row>
    <row r="39" spans="1:10" ht="15" thickBot="1" x14ac:dyDescent="0.4">
      <c r="A39" s="4" t="s">
        <v>52</v>
      </c>
      <c r="B39" s="1" t="s">
        <v>48</v>
      </c>
      <c r="C39" s="1" t="s">
        <v>34</v>
      </c>
      <c r="D39" s="1" t="s">
        <v>27</v>
      </c>
      <c r="E39" s="2">
        <v>1410.06</v>
      </c>
      <c r="F39" s="2">
        <v>11</v>
      </c>
      <c r="G39" s="2">
        <v>0.05</v>
      </c>
      <c r="H39" s="3">
        <v>45434</v>
      </c>
      <c r="I39" s="2">
        <v>468.84</v>
      </c>
      <c r="J39" t="str">
        <f t="shared" si="0"/>
        <v>May</v>
      </c>
    </row>
    <row r="40" spans="1:10" ht="29.5" thickBot="1" x14ac:dyDescent="0.4">
      <c r="A40" s="4" t="s">
        <v>44</v>
      </c>
      <c r="B40" s="1" t="s">
        <v>59</v>
      </c>
      <c r="C40" s="1" t="s">
        <v>34</v>
      </c>
      <c r="D40" s="1" t="s">
        <v>27</v>
      </c>
      <c r="E40" s="2">
        <v>773.09</v>
      </c>
      <c r="F40" s="2">
        <v>13</v>
      </c>
      <c r="G40" s="2">
        <v>0.15</v>
      </c>
      <c r="H40" s="3">
        <v>45434</v>
      </c>
      <c r="I40" s="2">
        <v>229.99</v>
      </c>
      <c r="J40" t="str">
        <f t="shared" si="0"/>
        <v>May</v>
      </c>
    </row>
    <row r="41" spans="1:10" ht="29.5" thickBot="1" x14ac:dyDescent="0.4">
      <c r="A41" s="4" t="s">
        <v>60</v>
      </c>
      <c r="B41" s="1" t="s">
        <v>61</v>
      </c>
      <c r="C41" s="1" t="s">
        <v>18</v>
      </c>
      <c r="D41" s="1" t="s">
        <v>12</v>
      </c>
      <c r="E41" s="2">
        <v>580.42999999999995</v>
      </c>
      <c r="F41" s="2">
        <v>19</v>
      </c>
      <c r="G41" s="2">
        <v>0.15</v>
      </c>
      <c r="H41" s="3">
        <v>45435</v>
      </c>
      <c r="I41" s="2">
        <v>197.35</v>
      </c>
      <c r="J41" t="str">
        <f t="shared" si="0"/>
        <v>May</v>
      </c>
    </row>
    <row r="42" spans="1:10" ht="29.5" thickBot="1" x14ac:dyDescent="0.4">
      <c r="A42" s="4" t="s">
        <v>19</v>
      </c>
      <c r="B42" s="1" t="s">
        <v>42</v>
      </c>
      <c r="C42" s="1" t="s">
        <v>20</v>
      </c>
      <c r="D42" s="1" t="s">
        <v>12</v>
      </c>
      <c r="E42" s="2">
        <v>1151.21</v>
      </c>
      <c r="F42" s="2">
        <v>15</v>
      </c>
      <c r="G42" s="2">
        <v>0.1</v>
      </c>
      <c r="H42" s="3">
        <v>45445</v>
      </c>
      <c r="I42" s="2">
        <v>414.44</v>
      </c>
      <c r="J42" t="str">
        <f t="shared" si="0"/>
        <v>Jun</v>
      </c>
    </row>
    <row r="43" spans="1:10" ht="29.5" thickBot="1" x14ac:dyDescent="0.4">
      <c r="A43" s="4" t="s">
        <v>52</v>
      </c>
      <c r="B43" s="1" t="s">
        <v>23</v>
      </c>
      <c r="C43" s="1" t="s">
        <v>34</v>
      </c>
      <c r="D43" s="1" t="s">
        <v>39</v>
      </c>
      <c r="E43" s="2">
        <v>1025.98</v>
      </c>
      <c r="F43" s="2">
        <v>5</v>
      </c>
      <c r="G43" s="2">
        <v>0.2</v>
      </c>
      <c r="H43" s="3">
        <v>45447</v>
      </c>
      <c r="I43" s="2">
        <v>369.35</v>
      </c>
      <c r="J43" t="str">
        <f t="shared" si="0"/>
        <v>Jun</v>
      </c>
    </row>
    <row r="44" spans="1:10" ht="29.5" thickBot="1" x14ac:dyDescent="0.4">
      <c r="A44" s="4" t="s">
        <v>40</v>
      </c>
      <c r="B44" s="1" t="s">
        <v>56</v>
      </c>
      <c r="C44" s="1" t="s">
        <v>18</v>
      </c>
      <c r="D44" s="1" t="s">
        <v>39</v>
      </c>
      <c r="E44" s="2">
        <v>556.41999999999996</v>
      </c>
      <c r="F44" s="2">
        <v>11</v>
      </c>
      <c r="G44" s="2">
        <v>0.15</v>
      </c>
      <c r="H44" s="3">
        <v>45447</v>
      </c>
      <c r="I44" s="2">
        <v>212.83</v>
      </c>
      <c r="J44" t="str">
        <f t="shared" si="0"/>
        <v>Jun</v>
      </c>
    </row>
    <row r="45" spans="1:10" ht="29.5" thickBot="1" x14ac:dyDescent="0.4">
      <c r="A45" s="4" t="s">
        <v>57</v>
      </c>
      <c r="B45" s="1" t="s">
        <v>23</v>
      </c>
      <c r="C45" s="1" t="s">
        <v>34</v>
      </c>
      <c r="D45" s="1" t="s">
        <v>12</v>
      </c>
      <c r="E45" s="2">
        <v>840.85</v>
      </c>
      <c r="F45" s="2">
        <v>19</v>
      </c>
      <c r="G45" s="2">
        <v>0.1</v>
      </c>
      <c r="H45" s="3">
        <v>45448</v>
      </c>
      <c r="I45" s="2">
        <v>302.70999999999998</v>
      </c>
      <c r="J45" t="str">
        <f t="shared" si="0"/>
        <v>Jun</v>
      </c>
    </row>
    <row r="46" spans="1:10" ht="29.5" thickBot="1" x14ac:dyDescent="0.4">
      <c r="A46" s="4" t="s">
        <v>30</v>
      </c>
      <c r="B46" s="1" t="s">
        <v>61</v>
      </c>
      <c r="C46" s="1" t="s">
        <v>24</v>
      </c>
      <c r="D46" s="1" t="s">
        <v>27</v>
      </c>
      <c r="E46" s="2">
        <v>1227.25</v>
      </c>
      <c r="F46" s="2">
        <v>12</v>
      </c>
      <c r="G46" s="2">
        <v>0.15</v>
      </c>
      <c r="H46" s="3">
        <v>45448</v>
      </c>
      <c r="I46" s="2">
        <v>365.11</v>
      </c>
      <c r="J46" t="str">
        <f t="shared" si="0"/>
        <v>Jun</v>
      </c>
    </row>
    <row r="47" spans="1:10" ht="29.5" thickBot="1" x14ac:dyDescent="0.4">
      <c r="A47" s="4" t="s">
        <v>16</v>
      </c>
      <c r="B47" s="1" t="s">
        <v>62</v>
      </c>
      <c r="C47" s="1" t="s">
        <v>34</v>
      </c>
      <c r="D47" s="1" t="s">
        <v>21</v>
      </c>
      <c r="E47" s="2">
        <v>856.7</v>
      </c>
      <c r="F47" s="2">
        <v>2</v>
      </c>
      <c r="G47" s="2">
        <v>0</v>
      </c>
      <c r="H47" s="3">
        <v>45449</v>
      </c>
      <c r="I47" s="2">
        <v>214.18</v>
      </c>
      <c r="J47" t="str">
        <f t="shared" si="0"/>
        <v>Jun</v>
      </c>
    </row>
    <row r="48" spans="1:10" ht="29.5" thickBot="1" x14ac:dyDescent="0.4">
      <c r="A48" s="4" t="s">
        <v>54</v>
      </c>
      <c r="B48" s="1" t="s">
        <v>56</v>
      </c>
      <c r="C48" s="1" t="s">
        <v>34</v>
      </c>
      <c r="D48" s="1" t="s">
        <v>39</v>
      </c>
      <c r="E48" s="2">
        <v>1225.42</v>
      </c>
      <c r="F48" s="2">
        <v>8</v>
      </c>
      <c r="G48" s="2">
        <v>0.15</v>
      </c>
      <c r="H48" s="3">
        <v>45449</v>
      </c>
      <c r="I48" s="2">
        <v>468.72</v>
      </c>
      <c r="J48" t="str">
        <f t="shared" si="0"/>
        <v>Jun</v>
      </c>
    </row>
    <row r="49" spans="1:10" ht="29.5" thickBot="1" x14ac:dyDescent="0.4">
      <c r="A49" s="4" t="s">
        <v>63</v>
      </c>
      <c r="B49" s="1" t="s">
        <v>31</v>
      </c>
      <c r="C49" s="1" t="s">
        <v>24</v>
      </c>
      <c r="D49" s="1" t="s">
        <v>39</v>
      </c>
      <c r="E49" s="2">
        <v>1001.57</v>
      </c>
      <c r="F49" s="2">
        <v>12</v>
      </c>
      <c r="G49" s="2">
        <v>0</v>
      </c>
      <c r="H49" s="3">
        <v>45450</v>
      </c>
      <c r="I49" s="2">
        <v>450.71</v>
      </c>
      <c r="J49" t="str">
        <f t="shared" si="0"/>
        <v>Jun</v>
      </c>
    </row>
    <row r="50" spans="1:10" ht="29.5" thickBot="1" x14ac:dyDescent="0.4">
      <c r="A50" s="4" t="s">
        <v>57</v>
      </c>
      <c r="B50" s="1" t="s">
        <v>26</v>
      </c>
      <c r="C50" s="1" t="s">
        <v>18</v>
      </c>
      <c r="D50" s="1" t="s">
        <v>27</v>
      </c>
      <c r="E50" s="2">
        <v>1186.8499999999999</v>
      </c>
      <c r="F50" s="2">
        <v>19</v>
      </c>
      <c r="G50" s="2">
        <v>0.2</v>
      </c>
      <c r="H50" s="3">
        <v>45451</v>
      </c>
      <c r="I50" s="2">
        <v>332.32</v>
      </c>
      <c r="J50" t="str">
        <f t="shared" si="0"/>
        <v>Jun</v>
      </c>
    </row>
    <row r="51" spans="1:10" ht="29.5" thickBot="1" x14ac:dyDescent="0.4">
      <c r="A51" s="4" t="s">
        <v>44</v>
      </c>
      <c r="B51" s="1" t="s">
        <v>51</v>
      </c>
      <c r="C51" s="1" t="s">
        <v>20</v>
      </c>
      <c r="D51" s="1" t="s">
        <v>21</v>
      </c>
      <c r="E51" s="2">
        <v>775.45</v>
      </c>
      <c r="F51" s="2">
        <v>6</v>
      </c>
      <c r="G51" s="2">
        <v>0.1</v>
      </c>
      <c r="H51" s="3">
        <v>45457</v>
      </c>
      <c r="I51" s="2">
        <v>174.48</v>
      </c>
      <c r="J51" t="str">
        <f t="shared" si="0"/>
        <v>Jun</v>
      </c>
    </row>
    <row r="52" spans="1:10" ht="29.5" thickBot="1" x14ac:dyDescent="0.4">
      <c r="A52" s="4" t="s">
        <v>25</v>
      </c>
      <c r="B52" s="1" t="s">
        <v>33</v>
      </c>
      <c r="C52" s="1" t="s">
        <v>20</v>
      </c>
      <c r="D52" s="1" t="s">
        <v>21</v>
      </c>
      <c r="E52" s="2">
        <v>1021.47</v>
      </c>
      <c r="F52" s="2">
        <v>6</v>
      </c>
      <c r="G52" s="2">
        <v>0.05</v>
      </c>
      <c r="H52" s="3">
        <v>45461</v>
      </c>
      <c r="I52" s="2">
        <v>242.6</v>
      </c>
      <c r="J52" t="str">
        <f t="shared" si="0"/>
        <v>Jun</v>
      </c>
    </row>
    <row r="53" spans="1:10" ht="29.5" thickBot="1" x14ac:dyDescent="0.4">
      <c r="A53" s="4" t="s">
        <v>58</v>
      </c>
      <c r="B53" s="1" t="s">
        <v>23</v>
      </c>
      <c r="C53" s="1" t="s">
        <v>20</v>
      </c>
      <c r="D53" s="1" t="s">
        <v>15</v>
      </c>
      <c r="E53" s="2">
        <v>1226.6199999999999</v>
      </c>
      <c r="F53" s="2">
        <v>7</v>
      </c>
      <c r="G53" s="2">
        <v>0.1</v>
      </c>
      <c r="H53" s="3">
        <v>45463</v>
      </c>
      <c r="I53" s="2">
        <v>551.98</v>
      </c>
      <c r="J53" t="str">
        <f t="shared" si="0"/>
        <v>Jun</v>
      </c>
    </row>
    <row r="54" spans="1:10" ht="15" thickBot="1" x14ac:dyDescent="0.4">
      <c r="A54" s="4" t="s">
        <v>22</v>
      </c>
      <c r="B54" s="1" t="s">
        <v>64</v>
      </c>
      <c r="C54" s="1" t="s">
        <v>20</v>
      </c>
      <c r="D54" s="1" t="s">
        <v>27</v>
      </c>
      <c r="E54" s="2">
        <v>1086.93</v>
      </c>
      <c r="F54" s="2">
        <v>2</v>
      </c>
      <c r="G54" s="2">
        <v>0</v>
      </c>
      <c r="H54" s="3">
        <v>45464</v>
      </c>
      <c r="I54" s="2">
        <v>380.43</v>
      </c>
      <c r="J54" t="str">
        <f t="shared" si="0"/>
        <v>Jun</v>
      </c>
    </row>
    <row r="55" spans="1:10" ht="15" thickBot="1" x14ac:dyDescent="0.4">
      <c r="A55" s="4" t="s">
        <v>65</v>
      </c>
      <c r="B55" s="1" t="s">
        <v>48</v>
      </c>
      <c r="C55" s="1" t="s">
        <v>11</v>
      </c>
      <c r="D55" s="1" t="s">
        <v>12</v>
      </c>
      <c r="E55" s="2">
        <v>942.9</v>
      </c>
      <c r="F55" s="2">
        <v>18</v>
      </c>
      <c r="G55" s="2">
        <v>0.1</v>
      </c>
      <c r="H55" s="3">
        <v>45466</v>
      </c>
      <c r="I55" s="2">
        <v>339.44</v>
      </c>
      <c r="J55" t="str">
        <f t="shared" si="0"/>
        <v>Jun</v>
      </c>
    </row>
    <row r="56" spans="1:10" ht="29.5" thickBot="1" x14ac:dyDescent="0.4">
      <c r="A56" s="4" t="s">
        <v>32</v>
      </c>
      <c r="B56" s="1" t="s">
        <v>38</v>
      </c>
      <c r="C56" s="1" t="s">
        <v>24</v>
      </c>
      <c r="D56" s="1" t="s">
        <v>21</v>
      </c>
      <c r="E56" s="2">
        <v>818.8</v>
      </c>
      <c r="F56" s="2">
        <v>15</v>
      </c>
      <c r="G56" s="2">
        <v>0.15</v>
      </c>
      <c r="H56" s="3">
        <v>45468</v>
      </c>
      <c r="I56" s="2">
        <v>173.99</v>
      </c>
      <c r="J56" t="str">
        <f t="shared" si="0"/>
        <v>Jun</v>
      </c>
    </row>
    <row r="57" spans="1:10" ht="29.5" thickBot="1" x14ac:dyDescent="0.4">
      <c r="A57" s="4" t="s">
        <v>19</v>
      </c>
      <c r="B57" s="1" t="s">
        <v>14</v>
      </c>
      <c r="C57" s="1" t="s">
        <v>20</v>
      </c>
      <c r="D57" s="1" t="s">
        <v>27</v>
      </c>
      <c r="E57" s="2">
        <v>919.04</v>
      </c>
      <c r="F57" s="2">
        <v>10</v>
      </c>
      <c r="G57" s="2">
        <v>0.2</v>
      </c>
      <c r="H57" s="3">
        <v>45468</v>
      </c>
      <c r="I57" s="2">
        <v>257.33</v>
      </c>
      <c r="J57" t="str">
        <f t="shared" si="0"/>
        <v>Jun</v>
      </c>
    </row>
    <row r="58" spans="1:10" ht="29.5" thickBot="1" x14ac:dyDescent="0.4">
      <c r="A58" s="4" t="s">
        <v>22</v>
      </c>
      <c r="B58" s="1" t="s">
        <v>66</v>
      </c>
      <c r="C58" s="1" t="s">
        <v>34</v>
      </c>
      <c r="D58" s="1" t="s">
        <v>12</v>
      </c>
      <c r="E58" s="2">
        <v>973.26</v>
      </c>
      <c r="F58" s="2">
        <v>11</v>
      </c>
      <c r="G58" s="2">
        <v>0</v>
      </c>
      <c r="H58" s="3">
        <v>45470</v>
      </c>
      <c r="I58" s="2">
        <v>389.3</v>
      </c>
      <c r="J58" t="str">
        <f t="shared" si="0"/>
        <v>Jun</v>
      </c>
    </row>
    <row r="59" spans="1:10" ht="29.5" thickBot="1" x14ac:dyDescent="0.4">
      <c r="A59" s="4" t="s">
        <v>41</v>
      </c>
      <c r="B59" s="1" t="s">
        <v>64</v>
      </c>
      <c r="C59" s="1" t="s">
        <v>24</v>
      </c>
      <c r="D59" s="1" t="s">
        <v>21</v>
      </c>
      <c r="E59" s="2">
        <v>741.61</v>
      </c>
      <c r="F59" s="2">
        <v>1</v>
      </c>
      <c r="G59" s="2">
        <v>0.2</v>
      </c>
      <c r="H59" s="3">
        <v>45471</v>
      </c>
      <c r="I59" s="2">
        <v>148.32</v>
      </c>
      <c r="J59" t="str">
        <f t="shared" si="0"/>
        <v>Jun</v>
      </c>
    </row>
    <row r="60" spans="1:10" ht="29.5" thickBot="1" x14ac:dyDescent="0.4">
      <c r="A60" s="4" t="s">
        <v>67</v>
      </c>
      <c r="B60" s="1" t="s">
        <v>38</v>
      </c>
      <c r="C60" s="1" t="s">
        <v>24</v>
      </c>
      <c r="D60" s="1" t="s">
        <v>12</v>
      </c>
      <c r="E60" s="2">
        <v>1248.82</v>
      </c>
      <c r="F60" s="2">
        <v>2</v>
      </c>
      <c r="G60" s="2">
        <v>0.1</v>
      </c>
      <c r="H60" s="3">
        <v>45473</v>
      </c>
      <c r="I60" s="2">
        <v>449.58</v>
      </c>
      <c r="J60" t="str">
        <f t="shared" si="0"/>
        <v>Jun</v>
      </c>
    </row>
    <row r="61" spans="1:10" ht="29.5" thickBot="1" x14ac:dyDescent="0.4">
      <c r="A61" s="4" t="s">
        <v>13</v>
      </c>
      <c r="B61" s="1" t="s">
        <v>59</v>
      </c>
      <c r="C61" s="1" t="s">
        <v>11</v>
      </c>
      <c r="D61" s="1" t="s">
        <v>15</v>
      </c>
      <c r="E61" s="2">
        <v>1360.36</v>
      </c>
      <c r="F61" s="2">
        <v>17</v>
      </c>
      <c r="G61" s="2">
        <v>0</v>
      </c>
      <c r="H61" s="3">
        <v>45473</v>
      </c>
      <c r="I61" s="2">
        <v>680.18</v>
      </c>
      <c r="J61" t="str">
        <f t="shared" si="0"/>
        <v>Jun</v>
      </c>
    </row>
    <row r="62" spans="1:10" ht="15" thickBot="1" x14ac:dyDescent="0.4">
      <c r="A62" s="4" t="s">
        <v>57</v>
      </c>
      <c r="B62" s="1" t="s">
        <v>31</v>
      </c>
      <c r="C62" s="1" t="s">
        <v>18</v>
      </c>
      <c r="D62" s="1" t="s">
        <v>12</v>
      </c>
      <c r="E62" s="2">
        <v>1383.3</v>
      </c>
      <c r="F62" s="2">
        <v>8</v>
      </c>
      <c r="G62" s="2">
        <v>0.1</v>
      </c>
      <c r="H62" s="3">
        <v>45478</v>
      </c>
      <c r="I62" s="2">
        <v>497.99</v>
      </c>
      <c r="J62" t="str">
        <f t="shared" si="0"/>
        <v>Jul</v>
      </c>
    </row>
    <row r="63" spans="1:10" ht="29.5" thickBot="1" x14ac:dyDescent="0.4">
      <c r="A63" s="4" t="s">
        <v>35</v>
      </c>
      <c r="B63" s="1" t="s">
        <v>55</v>
      </c>
      <c r="C63" s="1" t="s">
        <v>34</v>
      </c>
      <c r="D63" s="1" t="s">
        <v>39</v>
      </c>
      <c r="E63" s="2">
        <v>488.99</v>
      </c>
      <c r="F63" s="2">
        <v>9</v>
      </c>
      <c r="G63" s="2">
        <v>0</v>
      </c>
      <c r="H63" s="3">
        <v>45479</v>
      </c>
      <c r="I63" s="2">
        <v>220.05</v>
      </c>
      <c r="J63" t="str">
        <f t="shared" si="0"/>
        <v>Jul</v>
      </c>
    </row>
    <row r="64" spans="1:10" ht="15" thickBot="1" x14ac:dyDescent="0.4">
      <c r="A64" s="4" t="s">
        <v>30</v>
      </c>
      <c r="B64" s="1" t="s">
        <v>31</v>
      </c>
      <c r="C64" s="1" t="s">
        <v>18</v>
      </c>
      <c r="D64" s="1" t="s">
        <v>27</v>
      </c>
      <c r="E64" s="2">
        <v>933.71</v>
      </c>
      <c r="F64" s="2">
        <v>17</v>
      </c>
      <c r="G64" s="2">
        <v>0.1</v>
      </c>
      <c r="H64" s="3">
        <v>45481</v>
      </c>
      <c r="I64" s="2">
        <v>294.12</v>
      </c>
      <c r="J64" t="str">
        <f t="shared" si="0"/>
        <v>Jul</v>
      </c>
    </row>
    <row r="65" spans="1:10" ht="29.5" thickBot="1" x14ac:dyDescent="0.4">
      <c r="A65" s="4" t="s">
        <v>67</v>
      </c>
      <c r="B65" s="1" t="s">
        <v>10</v>
      </c>
      <c r="C65" s="1" t="s">
        <v>11</v>
      </c>
      <c r="D65" s="1" t="s">
        <v>21</v>
      </c>
      <c r="E65" s="2">
        <v>1005.53</v>
      </c>
      <c r="F65" s="2">
        <v>17</v>
      </c>
      <c r="G65" s="2">
        <v>0.2</v>
      </c>
      <c r="H65" s="3">
        <v>45481</v>
      </c>
      <c r="I65" s="2">
        <v>201.11</v>
      </c>
      <c r="J65" t="str">
        <f t="shared" si="0"/>
        <v>Jul</v>
      </c>
    </row>
    <row r="66" spans="1:10" ht="29.5" thickBot="1" x14ac:dyDescent="0.4">
      <c r="A66" s="4" t="s">
        <v>41</v>
      </c>
      <c r="B66" s="1" t="s">
        <v>61</v>
      </c>
      <c r="C66" s="1" t="s">
        <v>20</v>
      </c>
      <c r="D66" s="1" t="s">
        <v>21</v>
      </c>
      <c r="E66" s="2">
        <v>1100.0999999999999</v>
      </c>
      <c r="F66" s="2">
        <v>5</v>
      </c>
      <c r="G66" s="2">
        <v>0.05</v>
      </c>
      <c r="H66" s="3">
        <v>45482</v>
      </c>
      <c r="I66" s="2">
        <v>261.27</v>
      </c>
      <c r="J66" t="str">
        <f t="shared" si="0"/>
        <v>Jul</v>
      </c>
    </row>
    <row r="67" spans="1:10" ht="29.5" thickBot="1" x14ac:dyDescent="0.4">
      <c r="A67" s="4" t="s">
        <v>67</v>
      </c>
      <c r="B67" s="1" t="s">
        <v>23</v>
      </c>
      <c r="C67" s="1" t="s">
        <v>24</v>
      </c>
      <c r="D67" s="1" t="s">
        <v>27</v>
      </c>
      <c r="E67" s="2">
        <v>1034.7</v>
      </c>
      <c r="F67" s="2">
        <v>15</v>
      </c>
      <c r="G67" s="2">
        <v>0.15</v>
      </c>
      <c r="H67" s="3">
        <v>45487</v>
      </c>
      <c r="I67" s="2">
        <v>307.82</v>
      </c>
      <c r="J67" t="str">
        <f t="shared" ref="J67:J130" si="1">TEXT(H67,"mmm")</f>
        <v>Jul</v>
      </c>
    </row>
    <row r="68" spans="1:10" ht="15" thickBot="1" x14ac:dyDescent="0.4">
      <c r="A68" s="4" t="s">
        <v>65</v>
      </c>
      <c r="B68" s="1" t="s">
        <v>31</v>
      </c>
      <c r="C68" s="1" t="s">
        <v>20</v>
      </c>
      <c r="D68" s="1" t="s">
        <v>12</v>
      </c>
      <c r="E68" s="2">
        <v>876.44</v>
      </c>
      <c r="F68" s="2">
        <v>12</v>
      </c>
      <c r="G68" s="2">
        <v>0.05</v>
      </c>
      <c r="H68" s="3">
        <v>45488</v>
      </c>
      <c r="I68" s="2">
        <v>333.05</v>
      </c>
      <c r="J68" t="str">
        <f t="shared" si="1"/>
        <v>Jul</v>
      </c>
    </row>
    <row r="69" spans="1:10" ht="29.5" thickBot="1" x14ac:dyDescent="0.4">
      <c r="A69" s="4" t="s">
        <v>68</v>
      </c>
      <c r="B69" s="1" t="s">
        <v>55</v>
      </c>
      <c r="C69" s="1" t="s">
        <v>11</v>
      </c>
      <c r="D69" s="1" t="s">
        <v>27</v>
      </c>
      <c r="E69" s="2">
        <v>1371.34</v>
      </c>
      <c r="F69" s="2">
        <v>5</v>
      </c>
      <c r="G69" s="2">
        <v>0.05</v>
      </c>
      <c r="H69" s="3">
        <v>45488</v>
      </c>
      <c r="I69" s="2">
        <v>455.97</v>
      </c>
      <c r="J69" t="str">
        <f t="shared" si="1"/>
        <v>Jul</v>
      </c>
    </row>
    <row r="70" spans="1:10" ht="29.5" thickBot="1" x14ac:dyDescent="0.4">
      <c r="A70" s="4" t="s">
        <v>57</v>
      </c>
      <c r="B70" s="1" t="s">
        <v>47</v>
      </c>
      <c r="C70" s="1" t="s">
        <v>24</v>
      </c>
      <c r="D70" s="1" t="s">
        <v>21</v>
      </c>
      <c r="E70" s="2">
        <v>1020.26</v>
      </c>
      <c r="F70" s="2">
        <v>11</v>
      </c>
      <c r="G70" s="2">
        <v>0.05</v>
      </c>
      <c r="H70" s="3">
        <v>45494</v>
      </c>
      <c r="I70" s="2">
        <v>242.31</v>
      </c>
      <c r="J70" t="str">
        <f t="shared" si="1"/>
        <v>Jul</v>
      </c>
    </row>
    <row r="71" spans="1:10" ht="29.5" thickBot="1" x14ac:dyDescent="0.4">
      <c r="A71" s="4" t="s">
        <v>44</v>
      </c>
      <c r="B71" s="1" t="s">
        <v>10</v>
      </c>
      <c r="C71" s="1" t="s">
        <v>34</v>
      </c>
      <c r="D71" s="1" t="s">
        <v>39</v>
      </c>
      <c r="E71" s="2">
        <v>804.81</v>
      </c>
      <c r="F71" s="2">
        <v>1</v>
      </c>
      <c r="G71" s="2">
        <v>0.05</v>
      </c>
      <c r="H71" s="3">
        <v>45502</v>
      </c>
      <c r="I71" s="2">
        <v>344.06</v>
      </c>
      <c r="J71" t="str">
        <f t="shared" si="1"/>
        <v>Jul</v>
      </c>
    </row>
    <row r="72" spans="1:10" ht="29.5" thickBot="1" x14ac:dyDescent="0.4">
      <c r="A72" s="4" t="s">
        <v>22</v>
      </c>
      <c r="B72" s="1" t="s">
        <v>55</v>
      </c>
      <c r="C72" s="1" t="s">
        <v>34</v>
      </c>
      <c r="D72" s="1" t="s">
        <v>21</v>
      </c>
      <c r="E72" s="2">
        <v>608.66</v>
      </c>
      <c r="F72" s="2">
        <v>1</v>
      </c>
      <c r="G72" s="2">
        <v>0.05</v>
      </c>
      <c r="H72" s="3">
        <v>45503</v>
      </c>
      <c r="I72" s="2">
        <v>144.56</v>
      </c>
      <c r="J72" t="str">
        <f t="shared" si="1"/>
        <v>Jul</v>
      </c>
    </row>
    <row r="73" spans="1:10" ht="29.5" thickBot="1" x14ac:dyDescent="0.4">
      <c r="A73" s="4" t="s">
        <v>68</v>
      </c>
      <c r="B73" s="1" t="s">
        <v>69</v>
      </c>
      <c r="C73" s="1" t="s">
        <v>20</v>
      </c>
      <c r="D73" s="1" t="s">
        <v>39</v>
      </c>
      <c r="E73" s="2">
        <v>981.2</v>
      </c>
      <c r="F73" s="2">
        <v>19</v>
      </c>
      <c r="G73" s="2">
        <v>0</v>
      </c>
      <c r="H73" s="3">
        <v>45504</v>
      </c>
      <c r="I73" s="2">
        <v>441.54</v>
      </c>
      <c r="J73" t="str">
        <f t="shared" si="1"/>
        <v>Jul</v>
      </c>
    </row>
    <row r="74" spans="1:10" ht="29.5" thickBot="1" x14ac:dyDescent="0.4">
      <c r="A74" s="4" t="s">
        <v>70</v>
      </c>
      <c r="B74" s="1" t="s">
        <v>55</v>
      </c>
      <c r="C74" s="1" t="s">
        <v>18</v>
      </c>
      <c r="D74" s="1" t="s">
        <v>21</v>
      </c>
      <c r="E74" s="2">
        <v>539.77</v>
      </c>
      <c r="F74" s="2">
        <v>10</v>
      </c>
      <c r="G74" s="2">
        <v>0.15</v>
      </c>
      <c r="H74" s="3">
        <v>45509</v>
      </c>
      <c r="I74" s="2">
        <v>114.7</v>
      </c>
      <c r="J74" t="str">
        <f t="shared" si="1"/>
        <v>Aug</v>
      </c>
    </row>
    <row r="75" spans="1:10" ht="29.5" thickBot="1" x14ac:dyDescent="0.4">
      <c r="A75" s="4" t="s">
        <v>13</v>
      </c>
      <c r="B75" s="1" t="s">
        <v>71</v>
      </c>
      <c r="C75" s="1" t="s">
        <v>20</v>
      </c>
      <c r="D75" s="1" t="s">
        <v>12</v>
      </c>
      <c r="E75" s="2">
        <v>804.45</v>
      </c>
      <c r="F75" s="2">
        <v>5</v>
      </c>
      <c r="G75" s="2">
        <v>0.2</v>
      </c>
      <c r="H75" s="3">
        <v>45509</v>
      </c>
      <c r="I75" s="2">
        <v>257.42</v>
      </c>
      <c r="J75" t="str">
        <f t="shared" si="1"/>
        <v>Aug</v>
      </c>
    </row>
    <row r="76" spans="1:10" ht="29.5" thickBot="1" x14ac:dyDescent="0.4">
      <c r="A76" s="4" t="s">
        <v>70</v>
      </c>
      <c r="B76" s="1" t="s">
        <v>38</v>
      </c>
      <c r="C76" s="1" t="s">
        <v>11</v>
      </c>
      <c r="D76" s="1" t="s">
        <v>21</v>
      </c>
      <c r="E76" s="2">
        <v>1526.6</v>
      </c>
      <c r="F76" s="2">
        <v>13</v>
      </c>
      <c r="G76" s="2">
        <v>0.2</v>
      </c>
      <c r="H76" s="3">
        <v>45512</v>
      </c>
      <c r="I76" s="2">
        <v>305.32</v>
      </c>
      <c r="J76" t="str">
        <f t="shared" si="1"/>
        <v>Aug</v>
      </c>
    </row>
    <row r="77" spans="1:10" ht="29.5" thickBot="1" x14ac:dyDescent="0.4">
      <c r="A77" s="4" t="s">
        <v>13</v>
      </c>
      <c r="B77" s="1" t="s">
        <v>29</v>
      </c>
      <c r="C77" s="1" t="s">
        <v>11</v>
      </c>
      <c r="D77" s="1" t="s">
        <v>21</v>
      </c>
      <c r="E77" s="2">
        <v>1215.26</v>
      </c>
      <c r="F77" s="2">
        <v>5</v>
      </c>
      <c r="G77" s="2">
        <v>0.15</v>
      </c>
      <c r="H77" s="3">
        <v>45513</v>
      </c>
      <c r="I77" s="2">
        <v>258.24</v>
      </c>
      <c r="J77" t="str">
        <f t="shared" si="1"/>
        <v>Aug</v>
      </c>
    </row>
    <row r="78" spans="1:10" ht="29.5" thickBot="1" x14ac:dyDescent="0.4">
      <c r="A78" s="4" t="s">
        <v>19</v>
      </c>
      <c r="B78" s="1" t="s">
        <v>53</v>
      </c>
      <c r="C78" s="1" t="s">
        <v>34</v>
      </c>
      <c r="D78" s="1" t="s">
        <v>27</v>
      </c>
      <c r="E78" s="2">
        <v>1261.3399999999999</v>
      </c>
      <c r="F78" s="2">
        <v>3</v>
      </c>
      <c r="G78" s="2">
        <v>0</v>
      </c>
      <c r="H78" s="3">
        <v>45519</v>
      </c>
      <c r="I78" s="2">
        <v>441.47</v>
      </c>
      <c r="J78" t="str">
        <f t="shared" si="1"/>
        <v>Aug</v>
      </c>
    </row>
    <row r="79" spans="1:10" ht="29.5" thickBot="1" x14ac:dyDescent="0.4">
      <c r="A79" s="4" t="s">
        <v>72</v>
      </c>
      <c r="B79" s="1" t="s">
        <v>45</v>
      </c>
      <c r="C79" s="1" t="s">
        <v>24</v>
      </c>
      <c r="D79" s="1" t="s">
        <v>27</v>
      </c>
      <c r="E79" s="2">
        <v>518.07000000000005</v>
      </c>
      <c r="F79" s="2">
        <v>7</v>
      </c>
      <c r="G79" s="2">
        <v>0.05</v>
      </c>
      <c r="H79" s="3">
        <v>45522</v>
      </c>
      <c r="I79" s="2">
        <v>172.26</v>
      </c>
      <c r="J79" t="str">
        <f t="shared" si="1"/>
        <v>Aug</v>
      </c>
    </row>
    <row r="80" spans="1:10" ht="29.5" thickBot="1" x14ac:dyDescent="0.4">
      <c r="A80" s="4" t="s">
        <v>30</v>
      </c>
      <c r="B80" s="1" t="s">
        <v>29</v>
      </c>
      <c r="C80" s="1" t="s">
        <v>11</v>
      </c>
      <c r="D80" s="1" t="s">
        <v>39</v>
      </c>
      <c r="E80" s="2">
        <v>1111.3399999999999</v>
      </c>
      <c r="F80" s="2">
        <v>1</v>
      </c>
      <c r="G80" s="2">
        <v>0</v>
      </c>
      <c r="H80" s="3">
        <v>45523</v>
      </c>
      <c r="I80" s="2">
        <v>500.1</v>
      </c>
      <c r="J80" t="str">
        <f t="shared" si="1"/>
        <v>Aug</v>
      </c>
    </row>
    <row r="81" spans="1:10" ht="15" thickBot="1" x14ac:dyDescent="0.4">
      <c r="A81" s="4" t="s">
        <v>22</v>
      </c>
      <c r="B81" s="1" t="s">
        <v>31</v>
      </c>
      <c r="C81" s="1" t="s">
        <v>18</v>
      </c>
      <c r="D81" s="1" t="s">
        <v>15</v>
      </c>
      <c r="E81" s="2">
        <v>1291.47</v>
      </c>
      <c r="F81" s="2">
        <v>18</v>
      </c>
      <c r="G81" s="2">
        <v>0.1</v>
      </c>
      <c r="H81" s="3">
        <v>45526</v>
      </c>
      <c r="I81" s="2">
        <v>581.16</v>
      </c>
      <c r="J81" t="str">
        <f t="shared" si="1"/>
        <v>Aug</v>
      </c>
    </row>
    <row r="82" spans="1:10" ht="29.5" thickBot="1" x14ac:dyDescent="0.4">
      <c r="A82" s="4" t="s">
        <v>25</v>
      </c>
      <c r="B82" s="1" t="s">
        <v>55</v>
      </c>
      <c r="C82" s="1" t="s">
        <v>24</v>
      </c>
      <c r="D82" s="1" t="s">
        <v>12</v>
      </c>
      <c r="E82" s="2">
        <v>679.71</v>
      </c>
      <c r="F82" s="2">
        <v>19</v>
      </c>
      <c r="G82" s="2">
        <v>0</v>
      </c>
      <c r="H82" s="3">
        <v>45534</v>
      </c>
      <c r="I82" s="2">
        <v>271.88</v>
      </c>
      <c r="J82" t="str">
        <f t="shared" si="1"/>
        <v>Aug</v>
      </c>
    </row>
    <row r="83" spans="1:10" ht="29.5" thickBot="1" x14ac:dyDescent="0.4">
      <c r="A83" s="4" t="s">
        <v>68</v>
      </c>
      <c r="B83" s="1" t="s">
        <v>33</v>
      </c>
      <c r="C83" s="1" t="s">
        <v>18</v>
      </c>
      <c r="D83" s="1" t="s">
        <v>27</v>
      </c>
      <c r="E83" s="2">
        <v>1143.69</v>
      </c>
      <c r="F83" s="2">
        <v>17</v>
      </c>
      <c r="G83" s="2">
        <v>0</v>
      </c>
      <c r="H83" s="3">
        <v>45534</v>
      </c>
      <c r="I83" s="2">
        <v>400.29</v>
      </c>
      <c r="J83" t="str">
        <f t="shared" si="1"/>
        <v>Aug</v>
      </c>
    </row>
    <row r="84" spans="1:10" ht="29.5" thickBot="1" x14ac:dyDescent="0.4">
      <c r="A84" s="4" t="s">
        <v>52</v>
      </c>
      <c r="B84" s="1" t="s">
        <v>50</v>
      </c>
      <c r="C84" s="1" t="s">
        <v>34</v>
      </c>
      <c r="D84" s="1" t="s">
        <v>21</v>
      </c>
      <c r="E84" s="2">
        <v>790.08</v>
      </c>
      <c r="F84" s="2">
        <v>7</v>
      </c>
      <c r="G84" s="2">
        <v>0.1</v>
      </c>
      <c r="H84" s="3">
        <v>45536</v>
      </c>
      <c r="I84" s="2">
        <v>177.77</v>
      </c>
      <c r="J84" t="str">
        <f t="shared" si="1"/>
        <v>Sep</v>
      </c>
    </row>
    <row r="85" spans="1:10" ht="15" thickBot="1" x14ac:dyDescent="0.4">
      <c r="A85" s="4" t="s">
        <v>19</v>
      </c>
      <c r="B85" s="1" t="s">
        <v>48</v>
      </c>
      <c r="C85" s="1" t="s">
        <v>34</v>
      </c>
      <c r="D85" s="1" t="s">
        <v>12</v>
      </c>
      <c r="E85" s="2">
        <v>1070.68</v>
      </c>
      <c r="F85" s="2">
        <v>7</v>
      </c>
      <c r="G85" s="2">
        <v>0.05</v>
      </c>
      <c r="H85" s="3">
        <v>45536</v>
      </c>
      <c r="I85" s="2">
        <v>406.86</v>
      </c>
      <c r="J85" t="str">
        <f t="shared" si="1"/>
        <v>Sep</v>
      </c>
    </row>
    <row r="86" spans="1:10" ht="29.5" thickBot="1" x14ac:dyDescent="0.4">
      <c r="A86" s="4" t="s">
        <v>58</v>
      </c>
      <c r="B86" s="1" t="s">
        <v>36</v>
      </c>
      <c r="C86" s="1" t="s">
        <v>11</v>
      </c>
      <c r="D86" s="1" t="s">
        <v>15</v>
      </c>
      <c r="E86" s="2">
        <v>1168.8900000000001</v>
      </c>
      <c r="F86" s="2">
        <v>4</v>
      </c>
      <c r="G86" s="2">
        <v>0.1</v>
      </c>
      <c r="H86" s="3">
        <v>45544</v>
      </c>
      <c r="I86" s="2">
        <v>526</v>
      </c>
      <c r="J86" t="str">
        <f t="shared" si="1"/>
        <v>Sep</v>
      </c>
    </row>
    <row r="87" spans="1:10" ht="29.5" thickBot="1" x14ac:dyDescent="0.4">
      <c r="A87" s="4" t="s">
        <v>67</v>
      </c>
      <c r="B87" s="1" t="s">
        <v>10</v>
      </c>
      <c r="C87" s="1" t="s">
        <v>20</v>
      </c>
      <c r="D87" s="1" t="s">
        <v>21</v>
      </c>
      <c r="E87" s="2">
        <v>1335.87</v>
      </c>
      <c r="F87" s="2">
        <v>17</v>
      </c>
      <c r="G87" s="2">
        <v>0</v>
      </c>
      <c r="H87" s="3">
        <v>45544</v>
      </c>
      <c r="I87" s="2">
        <v>333.97</v>
      </c>
      <c r="J87" t="str">
        <f t="shared" si="1"/>
        <v>Sep</v>
      </c>
    </row>
    <row r="88" spans="1:10" ht="29.5" thickBot="1" x14ac:dyDescent="0.4">
      <c r="A88" s="4" t="s">
        <v>40</v>
      </c>
      <c r="B88" s="1" t="s">
        <v>55</v>
      </c>
      <c r="C88" s="1" t="s">
        <v>18</v>
      </c>
      <c r="D88" s="1" t="s">
        <v>27</v>
      </c>
      <c r="E88" s="2">
        <v>873.7</v>
      </c>
      <c r="F88" s="2">
        <v>9</v>
      </c>
      <c r="G88" s="2">
        <v>0</v>
      </c>
      <c r="H88" s="3">
        <v>45546</v>
      </c>
      <c r="I88" s="2">
        <v>305.8</v>
      </c>
      <c r="J88" t="str">
        <f t="shared" si="1"/>
        <v>Sep</v>
      </c>
    </row>
    <row r="89" spans="1:10" ht="29.5" thickBot="1" x14ac:dyDescent="0.4">
      <c r="A89" s="4" t="s">
        <v>72</v>
      </c>
      <c r="B89" s="1" t="s">
        <v>64</v>
      </c>
      <c r="C89" s="1" t="s">
        <v>11</v>
      </c>
      <c r="D89" s="1" t="s">
        <v>39</v>
      </c>
      <c r="E89" s="2">
        <v>1443.98</v>
      </c>
      <c r="F89" s="2">
        <v>19</v>
      </c>
      <c r="G89" s="2">
        <v>0</v>
      </c>
      <c r="H89" s="3">
        <v>45547</v>
      </c>
      <c r="I89" s="2">
        <v>649.79</v>
      </c>
      <c r="J89" t="str">
        <f t="shared" si="1"/>
        <v>Sep</v>
      </c>
    </row>
    <row r="90" spans="1:10" ht="29.5" thickBot="1" x14ac:dyDescent="0.4">
      <c r="A90" s="4" t="s">
        <v>40</v>
      </c>
      <c r="B90" s="1" t="s">
        <v>23</v>
      </c>
      <c r="C90" s="1" t="s">
        <v>18</v>
      </c>
      <c r="D90" s="1" t="s">
        <v>39</v>
      </c>
      <c r="E90" s="2">
        <v>1154.33</v>
      </c>
      <c r="F90" s="2">
        <v>11</v>
      </c>
      <c r="G90" s="2">
        <v>0.15</v>
      </c>
      <c r="H90" s="3">
        <v>45549</v>
      </c>
      <c r="I90" s="2">
        <v>441.53</v>
      </c>
      <c r="J90" t="str">
        <f t="shared" si="1"/>
        <v>Sep</v>
      </c>
    </row>
    <row r="91" spans="1:10" ht="29.5" thickBot="1" x14ac:dyDescent="0.4">
      <c r="A91" s="4" t="s">
        <v>49</v>
      </c>
      <c r="B91" s="1" t="s">
        <v>50</v>
      </c>
      <c r="C91" s="1" t="s">
        <v>20</v>
      </c>
      <c r="D91" s="1" t="s">
        <v>12</v>
      </c>
      <c r="E91" s="2">
        <v>1264.49</v>
      </c>
      <c r="F91" s="2">
        <v>16</v>
      </c>
      <c r="G91" s="2">
        <v>0.05</v>
      </c>
      <c r="H91" s="3">
        <v>45549</v>
      </c>
      <c r="I91" s="2">
        <v>480.51</v>
      </c>
      <c r="J91" t="str">
        <f t="shared" si="1"/>
        <v>Sep</v>
      </c>
    </row>
    <row r="92" spans="1:10" ht="29.5" thickBot="1" x14ac:dyDescent="0.4">
      <c r="A92" s="4" t="s">
        <v>25</v>
      </c>
      <c r="B92" s="1" t="s">
        <v>66</v>
      </c>
      <c r="C92" s="1" t="s">
        <v>11</v>
      </c>
      <c r="D92" s="1" t="s">
        <v>27</v>
      </c>
      <c r="E92" s="2">
        <v>1101.55</v>
      </c>
      <c r="F92" s="2">
        <v>4</v>
      </c>
      <c r="G92" s="2">
        <v>0.1</v>
      </c>
      <c r="H92" s="3">
        <v>45551</v>
      </c>
      <c r="I92" s="2">
        <v>346.99</v>
      </c>
      <c r="J92" t="str">
        <f t="shared" si="1"/>
        <v>Sep</v>
      </c>
    </row>
    <row r="93" spans="1:10" ht="29.5" thickBot="1" x14ac:dyDescent="0.4">
      <c r="A93" s="4" t="s">
        <v>73</v>
      </c>
      <c r="B93" s="1" t="s">
        <v>14</v>
      </c>
      <c r="C93" s="1" t="s">
        <v>20</v>
      </c>
      <c r="D93" s="1" t="s">
        <v>27</v>
      </c>
      <c r="E93" s="2">
        <v>727.73</v>
      </c>
      <c r="F93" s="2">
        <v>1</v>
      </c>
      <c r="G93" s="2">
        <v>0.1</v>
      </c>
      <c r="H93" s="3">
        <v>45552</v>
      </c>
      <c r="I93" s="2">
        <v>229.23</v>
      </c>
      <c r="J93" t="str">
        <f t="shared" si="1"/>
        <v>Sep</v>
      </c>
    </row>
    <row r="94" spans="1:10" ht="29.5" thickBot="1" x14ac:dyDescent="0.4">
      <c r="A94" s="4" t="s">
        <v>74</v>
      </c>
      <c r="B94" s="1" t="s">
        <v>38</v>
      </c>
      <c r="C94" s="1" t="s">
        <v>18</v>
      </c>
      <c r="D94" s="1" t="s">
        <v>39</v>
      </c>
      <c r="E94" s="2">
        <v>875.41</v>
      </c>
      <c r="F94" s="2">
        <v>13</v>
      </c>
      <c r="G94" s="2">
        <v>0.15</v>
      </c>
      <c r="H94" s="3">
        <v>45552</v>
      </c>
      <c r="I94" s="2">
        <v>334.84</v>
      </c>
      <c r="J94" t="str">
        <f t="shared" si="1"/>
        <v>Sep</v>
      </c>
    </row>
    <row r="95" spans="1:10" ht="29.5" thickBot="1" x14ac:dyDescent="0.4">
      <c r="A95" s="4" t="s">
        <v>67</v>
      </c>
      <c r="B95" s="1" t="s">
        <v>23</v>
      </c>
      <c r="C95" s="1" t="s">
        <v>11</v>
      </c>
      <c r="D95" s="1" t="s">
        <v>21</v>
      </c>
      <c r="E95" s="2">
        <v>1158.94</v>
      </c>
      <c r="F95" s="2">
        <v>19</v>
      </c>
      <c r="G95" s="2">
        <v>0.2</v>
      </c>
      <c r="H95" s="3">
        <v>45553</v>
      </c>
      <c r="I95" s="2">
        <v>231.79</v>
      </c>
      <c r="J95" t="str">
        <f t="shared" si="1"/>
        <v>Sep</v>
      </c>
    </row>
    <row r="96" spans="1:10" ht="29.5" thickBot="1" x14ac:dyDescent="0.4">
      <c r="A96" s="4" t="s">
        <v>75</v>
      </c>
      <c r="B96" s="1" t="s">
        <v>47</v>
      </c>
      <c r="C96" s="1" t="s">
        <v>20</v>
      </c>
      <c r="D96" s="1" t="s">
        <v>12</v>
      </c>
      <c r="E96" s="2">
        <v>966.3</v>
      </c>
      <c r="F96" s="2">
        <v>2</v>
      </c>
      <c r="G96" s="2">
        <v>0.15</v>
      </c>
      <c r="H96" s="3">
        <v>45557</v>
      </c>
      <c r="I96" s="2">
        <v>328.54</v>
      </c>
      <c r="J96" t="str">
        <f t="shared" si="1"/>
        <v>Sep</v>
      </c>
    </row>
    <row r="97" spans="1:10" ht="29.5" thickBot="1" x14ac:dyDescent="0.4">
      <c r="A97" s="4" t="s">
        <v>68</v>
      </c>
      <c r="B97" s="1" t="s">
        <v>17</v>
      </c>
      <c r="C97" s="1" t="s">
        <v>20</v>
      </c>
      <c r="D97" s="1" t="s">
        <v>12</v>
      </c>
      <c r="E97" s="2">
        <v>917.48</v>
      </c>
      <c r="F97" s="2">
        <v>6</v>
      </c>
      <c r="G97" s="2">
        <v>0</v>
      </c>
      <c r="H97" s="3">
        <v>45558</v>
      </c>
      <c r="I97" s="2">
        <v>366.99</v>
      </c>
      <c r="J97" t="str">
        <f t="shared" si="1"/>
        <v>Sep</v>
      </c>
    </row>
    <row r="98" spans="1:10" ht="29.5" thickBot="1" x14ac:dyDescent="0.4">
      <c r="A98" s="4" t="s">
        <v>41</v>
      </c>
      <c r="B98" s="1" t="s">
        <v>61</v>
      </c>
      <c r="C98" s="1" t="s">
        <v>11</v>
      </c>
      <c r="D98" s="1" t="s">
        <v>27</v>
      </c>
      <c r="E98" s="2">
        <v>1172.97</v>
      </c>
      <c r="F98" s="2">
        <v>7</v>
      </c>
      <c r="G98" s="2">
        <v>0.15</v>
      </c>
      <c r="H98" s="3">
        <v>45559</v>
      </c>
      <c r="I98" s="2">
        <v>348.96</v>
      </c>
      <c r="J98" t="str">
        <f t="shared" si="1"/>
        <v>Sep</v>
      </c>
    </row>
    <row r="99" spans="1:10" ht="29.5" thickBot="1" x14ac:dyDescent="0.4">
      <c r="A99" s="4" t="s">
        <v>57</v>
      </c>
      <c r="B99" s="1" t="s">
        <v>23</v>
      </c>
      <c r="C99" s="1" t="s">
        <v>24</v>
      </c>
      <c r="D99" s="1" t="s">
        <v>15</v>
      </c>
      <c r="E99" s="2">
        <v>1205.82</v>
      </c>
      <c r="F99" s="2">
        <v>11</v>
      </c>
      <c r="G99" s="2">
        <v>0.1</v>
      </c>
      <c r="H99" s="3">
        <v>45559</v>
      </c>
      <c r="I99" s="2">
        <v>542.62</v>
      </c>
      <c r="J99" t="str">
        <f t="shared" si="1"/>
        <v>Sep</v>
      </c>
    </row>
    <row r="100" spans="1:10" ht="29.5" thickBot="1" x14ac:dyDescent="0.4">
      <c r="A100" s="4" t="s">
        <v>16</v>
      </c>
      <c r="B100" s="1" t="s">
        <v>64</v>
      </c>
      <c r="C100" s="1" t="s">
        <v>11</v>
      </c>
      <c r="D100" s="1" t="s">
        <v>39</v>
      </c>
      <c r="E100" s="2">
        <v>826.93</v>
      </c>
      <c r="F100" s="2">
        <v>10</v>
      </c>
      <c r="G100" s="2">
        <v>0.2</v>
      </c>
      <c r="H100" s="3">
        <v>45564</v>
      </c>
      <c r="I100" s="2">
        <v>297.69</v>
      </c>
      <c r="J100" t="str">
        <f t="shared" si="1"/>
        <v>Sep</v>
      </c>
    </row>
    <row r="101" spans="1:10" ht="29.5" thickBot="1" x14ac:dyDescent="0.4">
      <c r="A101" s="4" t="s">
        <v>67</v>
      </c>
      <c r="B101" s="1" t="s">
        <v>23</v>
      </c>
      <c r="C101" s="1" t="s">
        <v>34</v>
      </c>
      <c r="D101" s="1" t="s">
        <v>15</v>
      </c>
      <c r="E101" s="2">
        <v>902.19</v>
      </c>
      <c r="F101" s="2">
        <v>12</v>
      </c>
      <c r="G101" s="2">
        <v>0</v>
      </c>
      <c r="H101" s="3">
        <v>45564</v>
      </c>
      <c r="I101" s="2">
        <v>451.1</v>
      </c>
      <c r="J101" t="str">
        <f t="shared" si="1"/>
        <v>Sep</v>
      </c>
    </row>
    <row r="102" spans="1:10" ht="29.5" thickBot="1" x14ac:dyDescent="0.4">
      <c r="A102" s="4" t="s">
        <v>74</v>
      </c>
      <c r="B102" s="1" t="s">
        <v>38</v>
      </c>
      <c r="C102" s="1" t="s">
        <v>24</v>
      </c>
      <c r="D102" s="1" t="s">
        <v>12</v>
      </c>
      <c r="E102" s="2">
        <v>585.97</v>
      </c>
      <c r="F102" s="2">
        <v>17</v>
      </c>
      <c r="G102" s="2">
        <v>0.1</v>
      </c>
      <c r="H102" s="3">
        <v>45565</v>
      </c>
      <c r="I102" s="2">
        <v>210.95</v>
      </c>
      <c r="J102" t="str">
        <f t="shared" si="1"/>
        <v>Sep</v>
      </c>
    </row>
    <row r="103" spans="1:10" ht="29.5" thickBot="1" x14ac:dyDescent="0.4">
      <c r="A103" s="4" t="s">
        <v>60</v>
      </c>
      <c r="B103" s="1" t="s">
        <v>26</v>
      </c>
      <c r="C103" s="1" t="s">
        <v>24</v>
      </c>
      <c r="D103" s="1" t="s">
        <v>15</v>
      </c>
      <c r="E103" s="2">
        <v>990.19</v>
      </c>
      <c r="F103" s="2">
        <v>8</v>
      </c>
      <c r="G103" s="2">
        <v>0.1</v>
      </c>
      <c r="H103" s="3">
        <v>45565</v>
      </c>
      <c r="I103" s="2">
        <v>445.59</v>
      </c>
      <c r="J103" t="str">
        <f t="shared" si="1"/>
        <v>Sep</v>
      </c>
    </row>
    <row r="104" spans="1:10" ht="29.5" thickBot="1" x14ac:dyDescent="0.4">
      <c r="A104" s="4" t="s">
        <v>44</v>
      </c>
      <c r="B104" s="1" t="s">
        <v>56</v>
      </c>
      <c r="C104" s="1" t="s">
        <v>34</v>
      </c>
      <c r="D104" s="1" t="s">
        <v>21</v>
      </c>
      <c r="E104" s="2">
        <v>1014.09</v>
      </c>
      <c r="F104" s="2">
        <v>13</v>
      </c>
      <c r="G104" s="2">
        <v>0.2</v>
      </c>
      <c r="H104" s="3">
        <v>45567</v>
      </c>
      <c r="I104" s="2">
        <v>202.82</v>
      </c>
      <c r="J104" t="str">
        <f t="shared" si="1"/>
        <v>Oct</v>
      </c>
    </row>
    <row r="105" spans="1:10" ht="29.5" thickBot="1" x14ac:dyDescent="0.4">
      <c r="A105" s="4" t="s">
        <v>13</v>
      </c>
      <c r="B105" s="1" t="s">
        <v>48</v>
      </c>
      <c r="C105" s="1" t="s">
        <v>24</v>
      </c>
      <c r="D105" s="1" t="s">
        <v>21</v>
      </c>
      <c r="E105" s="2">
        <v>925.29</v>
      </c>
      <c r="F105" s="2">
        <v>17</v>
      </c>
      <c r="G105" s="2">
        <v>0</v>
      </c>
      <c r="H105" s="3">
        <v>45570</v>
      </c>
      <c r="I105" s="2">
        <v>231.32</v>
      </c>
      <c r="J105" t="str">
        <f t="shared" si="1"/>
        <v>Oct</v>
      </c>
    </row>
    <row r="106" spans="1:10" ht="29.5" thickBot="1" x14ac:dyDescent="0.4">
      <c r="A106" s="4" t="s">
        <v>54</v>
      </c>
      <c r="B106" s="1" t="s">
        <v>47</v>
      </c>
      <c r="C106" s="1" t="s">
        <v>18</v>
      </c>
      <c r="D106" s="1" t="s">
        <v>27</v>
      </c>
      <c r="E106" s="2">
        <v>1286.54</v>
      </c>
      <c r="F106" s="2">
        <v>8</v>
      </c>
      <c r="G106" s="2">
        <v>0</v>
      </c>
      <c r="H106" s="3">
        <v>45575</v>
      </c>
      <c r="I106" s="2">
        <v>450.29</v>
      </c>
      <c r="J106" t="str">
        <f t="shared" si="1"/>
        <v>Oct</v>
      </c>
    </row>
    <row r="107" spans="1:10" ht="15" thickBot="1" x14ac:dyDescent="0.4">
      <c r="A107" s="4" t="s">
        <v>37</v>
      </c>
      <c r="B107" s="1" t="s">
        <v>64</v>
      </c>
      <c r="C107" s="1" t="s">
        <v>20</v>
      </c>
      <c r="D107" s="1" t="s">
        <v>12</v>
      </c>
      <c r="E107" s="2">
        <v>961.62</v>
      </c>
      <c r="F107" s="2">
        <v>8</v>
      </c>
      <c r="G107" s="2">
        <v>0.2</v>
      </c>
      <c r="H107" s="3">
        <v>45577</v>
      </c>
      <c r="I107" s="2">
        <v>307.72000000000003</v>
      </c>
      <c r="J107" t="str">
        <f t="shared" si="1"/>
        <v>Oct</v>
      </c>
    </row>
    <row r="108" spans="1:10" ht="29.5" thickBot="1" x14ac:dyDescent="0.4">
      <c r="A108" s="4" t="s">
        <v>44</v>
      </c>
      <c r="B108" s="1" t="s">
        <v>23</v>
      </c>
      <c r="C108" s="1" t="s">
        <v>18</v>
      </c>
      <c r="D108" s="1" t="s">
        <v>12</v>
      </c>
      <c r="E108" s="2">
        <v>1081.1400000000001</v>
      </c>
      <c r="F108" s="2">
        <v>19</v>
      </c>
      <c r="G108" s="2">
        <v>0.15</v>
      </c>
      <c r="H108" s="3">
        <v>45577</v>
      </c>
      <c r="I108" s="2">
        <v>367.59</v>
      </c>
      <c r="J108" t="str">
        <f t="shared" si="1"/>
        <v>Oct</v>
      </c>
    </row>
    <row r="109" spans="1:10" ht="29.5" thickBot="1" x14ac:dyDescent="0.4">
      <c r="A109" s="4" t="s">
        <v>58</v>
      </c>
      <c r="B109" s="1" t="s">
        <v>23</v>
      </c>
      <c r="C109" s="1" t="s">
        <v>11</v>
      </c>
      <c r="D109" s="1" t="s">
        <v>15</v>
      </c>
      <c r="E109" s="2">
        <v>1923.66</v>
      </c>
      <c r="F109" s="2">
        <v>9</v>
      </c>
      <c r="G109" s="2">
        <v>0.2</v>
      </c>
      <c r="H109" s="3">
        <v>45580</v>
      </c>
      <c r="I109" s="2">
        <v>769.46</v>
      </c>
      <c r="J109" t="str">
        <f t="shared" si="1"/>
        <v>Oct</v>
      </c>
    </row>
    <row r="110" spans="1:10" ht="29.5" thickBot="1" x14ac:dyDescent="0.4">
      <c r="A110" s="4" t="s">
        <v>54</v>
      </c>
      <c r="B110" s="1" t="s">
        <v>66</v>
      </c>
      <c r="C110" s="1" t="s">
        <v>34</v>
      </c>
      <c r="D110" s="1" t="s">
        <v>15</v>
      </c>
      <c r="E110" s="2">
        <v>728.71</v>
      </c>
      <c r="F110" s="2">
        <v>14</v>
      </c>
      <c r="G110" s="2">
        <v>0.1</v>
      </c>
      <c r="H110" s="3">
        <v>45581</v>
      </c>
      <c r="I110" s="2">
        <v>327.92</v>
      </c>
      <c r="J110" t="str">
        <f t="shared" si="1"/>
        <v>Oct</v>
      </c>
    </row>
    <row r="111" spans="1:10" ht="29.5" thickBot="1" x14ac:dyDescent="0.4">
      <c r="A111" s="4" t="s">
        <v>9</v>
      </c>
      <c r="B111" s="1" t="s">
        <v>33</v>
      </c>
      <c r="C111" s="1" t="s">
        <v>34</v>
      </c>
      <c r="D111" s="1" t="s">
        <v>15</v>
      </c>
      <c r="E111" s="2">
        <v>1301.8900000000001</v>
      </c>
      <c r="F111" s="2">
        <v>7</v>
      </c>
      <c r="G111" s="2">
        <v>0.15</v>
      </c>
      <c r="H111" s="3">
        <v>45581</v>
      </c>
      <c r="I111" s="2">
        <v>553.29999999999995</v>
      </c>
      <c r="J111" t="str">
        <f t="shared" si="1"/>
        <v>Oct</v>
      </c>
    </row>
    <row r="112" spans="1:10" ht="29.5" thickBot="1" x14ac:dyDescent="0.4">
      <c r="A112" s="4" t="s">
        <v>70</v>
      </c>
      <c r="B112" s="1" t="s">
        <v>66</v>
      </c>
      <c r="C112" s="1" t="s">
        <v>18</v>
      </c>
      <c r="D112" s="1" t="s">
        <v>12</v>
      </c>
      <c r="E112" s="2">
        <v>980.18</v>
      </c>
      <c r="F112" s="2">
        <v>16</v>
      </c>
      <c r="G112" s="2">
        <v>0.1</v>
      </c>
      <c r="H112" s="3">
        <v>45582</v>
      </c>
      <c r="I112" s="2">
        <v>352.86</v>
      </c>
      <c r="J112" t="str">
        <f t="shared" si="1"/>
        <v>Oct</v>
      </c>
    </row>
    <row r="113" spans="1:10" ht="29.5" thickBot="1" x14ac:dyDescent="0.4">
      <c r="A113" s="4" t="s">
        <v>74</v>
      </c>
      <c r="B113" s="1" t="s">
        <v>23</v>
      </c>
      <c r="C113" s="1" t="s">
        <v>11</v>
      </c>
      <c r="D113" s="1" t="s">
        <v>15</v>
      </c>
      <c r="E113" s="2">
        <v>697.57</v>
      </c>
      <c r="F113" s="2">
        <v>17</v>
      </c>
      <c r="G113" s="2">
        <v>0.1</v>
      </c>
      <c r="H113" s="3">
        <v>45584</v>
      </c>
      <c r="I113" s="2">
        <v>313.91000000000003</v>
      </c>
      <c r="J113" t="str">
        <f t="shared" si="1"/>
        <v>Oct</v>
      </c>
    </row>
    <row r="114" spans="1:10" ht="29.5" thickBot="1" x14ac:dyDescent="0.4">
      <c r="A114" s="4" t="s">
        <v>46</v>
      </c>
      <c r="B114" s="1" t="s">
        <v>71</v>
      </c>
      <c r="C114" s="1" t="s">
        <v>11</v>
      </c>
      <c r="D114" s="1" t="s">
        <v>27</v>
      </c>
      <c r="E114" s="2">
        <v>1193.6099999999999</v>
      </c>
      <c r="F114" s="2">
        <v>1</v>
      </c>
      <c r="G114" s="2">
        <v>0.15</v>
      </c>
      <c r="H114" s="3">
        <v>45584</v>
      </c>
      <c r="I114" s="2">
        <v>355.1</v>
      </c>
      <c r="J114" t="str">
        <f t="shared" si="1"/>
        <v>Oct</v>
      </c>
    </row>
    <row r="115" spans="1:10" ht="29.5" thickBot="1" x14ac:dyDescent="0.4">
      <c r="A115" s="4" t="s">
        <v>32</v>
      </c>
      <c r="B115" s="1" t="s">
        <v>38</v>
      </c>
      <c r="C115" s="1" t="s">
        <v>20</v>
      </c>
      <c r="D115" s="1" t="s">
        <v>21</v>
      </c>
      <c r="E115" s="2">
        <v>771.02</v>
      </c>
      <c r="F115" s="2">
        <v>1</v>
      </c>
      <c r="G115" s="2">
        <v>0</v>
      </c>
      <c r="H115" s="3">
        <v>45585</v>
      </c>
      <c r="I115" s="2">
        <v>192.76</v>
      </c>
      <c r="J115" t="str">
        <f t="shared" si="1"/>
        <v>Oct</v>
      </c>
    </row>
    <row r="116" spans="1:10" ht="29.5" thickBot="1" x14ac:dyDescent="0.4">
      <c r="A116" s="4" t="s">
        <v>67</v>
      </c>
      <c r="B116" s="1" t="s">
        <v>69</v>
      </c>
      <c r="C116" s="1" t="s">
        <v>24</v>
      </c>
      <c r="D116" s="1" t="s">
        <v>15</v>
      </c>
      <c r="E116" s="2">
        <v>661.09</v>
      </c>
      <c r="F116" s="2">
        <v>1</v>
      </c>
      <c r="G116" s="2">
        <v>0.2</v>
      </c>
      <c r="H116" s="3">
        <v>45593</v>
      </c>
      <c r="I116" s="2">
        <v>264.44</v>
      </c>
      <c r="J116" t="str">
        <f t="shared" si="1"/>
        <v>Oct</v>
      </c>
    </row>
    <row r="117" spans="1:10" ht="29.5" thickBot="1" x14ac:dyDescent="0.4">
      <c r="A117" s="4" t="s">
        <v>13</v>
      </c>
      <c r="B117" s="1" t="s">
        <v>55</v>
      </c>
      <c r="C117" s="1" t="s">
        <v>11</v>
      </c>
      <c r="D117" s="1" t="s">
        <v>21</v>
      </c>
      <c r="E117" s="2">
        <v>688.83</v>
      </c>
      <c r="F117" s="2">
        <v>15</v>
      </c>
      <c r="G117" s="2">
        <v>0</v>
      </c>
      <c r="H117" s="3">
        <v>45595</v>
      </c>
      <c r="I117" s="2">
        <v>172.21</v>
      </c>
      <c r="J117" t="str">
        <f t="shared" si="1"/>
        <v>Oct</v>
      </c>
    </row>
    <row r="118" spans="1:10" ht="29.5" thickBot="1" x14ac:dyDescent="0.4">
      <c r="A118" s="4" t="s">
        <v>73</v>
      </c>
      <c r="B118" s="1" t="s">
        <v>29</v>
      </c>
      <c r="C118" s="1" t="s">
        <v>34</v>
      </c>
      <c r="D118" s="1" t="s">
        <v>12</v>
      </c>
      <c r="E118" s="2">
        <v>1249.0999999999999</v>
      </c>
      <c r="F118" s="2">
        <v>4</v>
      </c>
      <c r="G118" s="2">
        <v>0.05</v>
      </c>
      <c r="H118" s="3">
        <v>45597</v>
      </c>
      <c r="I118" s="2">
        <v>474.66</v>
      </c>
      <c r="J118" t="str">
        <f t="shared" si="1"/>
        <v>Nov</v>
      </c>
    </row>
    <row r="119" spans="1:10" ht="29.5" thickBot="1" x14ac:dyDescent="0.4">
      <c r="A119" s="4" t="s">
        <v>44</v>
      </c>
      <c r="B119" s="1" t="s">
        <v>23</v>
      </c>
      <c r="C119" s="1" t="s">
        <v>18</v>
      </c>
      <c r="D119" s="1" t="s">
        <v>39</v>
      </c>
      <c r="E119" s="2">
        <v>1014.22</v>
      </c>
      <c r="F119" s="2">
        <v>14</v>
      </c>
      <c r="G119" s="2">
        <v>0.05</v>
      </c>
      <c r="H119" s="3">
        <v>45599</v>
      </c>
      <c r="I119" s="2">
        <v>433.58</v>
      </c>
      <c r="J119" t="str">
        <f t="shared" si="1"/>
        <v>Nov</v>
      </c>
    </row>
    <row r="120" spans="1:10" ht="15" thickBot="1" x14ac:dyDescent="0.4">
      <c r="A120" s="4" t="s">
        <v>54</v>
      </c>
      <c r="B120" s="1" t="s">
        <v>48</v>
      </c>
      <c r="C120" s="1" t="s">
        <v>18</v>
      </c>
      <c r="D120" s="1" t="s">
        <v>12</v>
      </c>
      <c r="E120" s="2">
        <v>1010.58</v>
      </c>
      <c r="F120" s="2">
        <v>2</v>
      </c>
      <c r="G120" s="2">
        <v>0.15</v>
      </c>
      <c r="H120" s="3">
        <v>45605</v>
      </c>
      <c r="I120" s="2">
        <v>343.6</v>
      </c>
      <c r="J120" t="str">
        <f t="shared" si="1"/>
        <v>Nov</v>
      </c>
    </row>
    <row r="121" spans="1:10" ht="29.5" thickBot="1" x14ac:dyDescent="0.4">
      <c r="A121" s="4" t="s">
        <v>30</v>
      </c>
      <c r="B121" s="1" t="s">
        <v>59</v>
      </c>
      <c r="C121" s="1" t="s">
        <v>24</v>
      </c>
      <c r="D121" s="1" t="s">
        <v>27</v>
      </c>
      <c r="E121" s="2">
        <v>957.29</v>
      </c>
      <c r="F121" s="2">
        <v>4</v>
      </c>
      <c r="G121" s="2">
        <v>0.05</v>
      </c>
      <c r="H121" s="3">
        <v>45605</v>
      </c>
      <c r="I121" s="2">
        <v>318.3</v>
      </c>
      <c r="J121" t="str">
        <f t="shared" si="1"/>
        <v>Nov</v>
      </c>
    </row>
    <row r="122" spans="1:10" ht="29.5" thickBot="1" x14ac:dyDescent="0.4">
      <c r="A122" s="4" t="s">
        <v>28</v>
      </c>
      <c r="B122" s="1" t="s">
        <v>45</v>
      </c>
      <c r="C122" s="1" t="s">
        <v>24</v>
      </c>
      <c r="D122" s="1" t="s">
        <v>27</v>
      </c>
      <c r="E122" s="2">
        <v>1077.92</v>
      </c>
      <c r="F122" s="2">
        <v>3</v>
      </c>
      <c r="G122" s="2">
        <v>0.05</v>
      </c>
      <c r="H122" s="3">
        <v>45608</v>
      </c>
      <c r="I122" s="2">
        <v>358.41</v>
      </c>
      <c r="J122" t="str">
        <f t="shared" si="1"/>
        <v>Nov</v>
      </c>
    </row>
    <row r="123" spans="1:10" ht="29.5" thickBot="1" x14ac:dyDescent="0.4">
      <c r="A123" s="4" t="s">
        <v>52</v>
      </c>
      <c r="B123" s="1" t="s">
        <v>50</v>
      </c>
      <c r="C123" s="1" t="s">
        <v>20</v>
      </c>
      <c r="D123" s="1" t="s">
        <v>15</v>
      </c>
      <c r="E123" s="2">
        <v>1163.01</v>
      </c>
      <c r="F123" s="2">
        <v>5</v>
      </c>
      <c r="G123" s="2">
        <v>0</v>
      </c>
      <c r="H123" s="3">
        <v>45611</v>
      </c>
      <c r="I123" s="2">
        <v>581.5</v>
      </c>
      <c r="J123" t="str">
        <f t="shared" si="1"/>
        <v>Nov</v>
      </c>
    </row>
    <row r="124" spans="1:10" ht="29.5" thickBot="1" x14ac:dyDescent="0.4">
      <c r="A124" s="4" t="s">
        <v>54</v>
      </c>
      <c r="B124" s="1" t="s">
        <v>45</v>
      </c>
      <c r="C124" s="1" t="s">
        <v>18</v>
      </c>
      <c r="D124" s="1" t="s">
        <v>39</v>
      </c>
      <c r="E124" s="2">
        <v>1014.56</v>
      </c>
      <c r="F124" s="2">
        <v>10</v>
      </c>
      <c r="G124" s="2">
        <v>0.1</v>
      </c>
      <c r="H124" s="3">
        <v>45612</v>
      </c>
      <c r="I124" s="2">
        <v>410.9</v>
      </c>
      <c r="J124" t="str">
        <f t="shared" si="1"/>
        <v>Nov</v>
      </c>
    </row>
    <row r="125" spans="1:10" ht="29.5" thickBot="1" x14ac:dyDescent="0.4">
      <c r="A125" s="4" t="s">
        <v>9</v>
      </c>
      <c r="B125" s="1" t="s">
        <v>17</v>
      </c>
      <c r="C125" s="1" t="s">
        <v>20</v>
      </c>
      <c r="D125" s="1" t="s">
        <v>21</v>
      </c>
      <c r="E125" s="2">
        <v>718.04</v>
      </c>
      <c r="F125" s="2">
        <v>14</v>
      </c>
      <c r="G125" s="2">
        <v>0</v>
      </c>
      <c r="H125" s="3">
        <v>45613</v>
      </c>
      <c r="I125" s="2">
        <v>179.51</v>
      </c>
      <c r="J125" t="str">
        <f t="shared" si="1"/>
        <v>Nov</v>
      </c>
    </row>
    <row r="126" spans="1:10" ht="29.5" thickBot="1" x14ac:dyDescent="0.4">
      <c r="A126" s="4" t="s">
        <v>72</v>
      </c>
      <c r="B126" s="1" t="s">
        <v>17</v>
      </c>
      <c r="C126" s="1" t="s">
        <v>34</v>
      </c>
      <c r="D126" s="1" t="s">
        <v>15</v>
      </c>
      <c r="E126" s="2">
        <v>1277.8499999999999</v>
      </c>
      <c r="F126" s="2">
        <v>18</v>
      </c>
      <c r="G126" s="2">
        <v>0.2</v>
      </c>
      <c r="H126" s="3">
        <v>45613</v>
      </c>
      <c r="I126" s="2">
        <v>511.14</v>
      </c>
      <c r="J126" t="str">
        <f t="shared" si="1"/>
        <v>Nov</v>
      </c>
    </row>
    <row r="127" spans="1:10" ht="29.5" thickBot="1" x14ac:dyDescent="0.4">
      <c r="A127" s="4" t="s">
        <v>70</v>
      </c>
      <c r="B127" s="1" t="s">
        <v>23</v>
      </c>
      <c r="C127" s="1" t="s">
        <v>24</v>
      </c>
      <c r="D127" s="1" t="s">
        <v>21</v>
      </c>
      <c r="E127" s="2">
        <v>706.73</v>
      </c>
      <c r="F127" s="2">
        <v>1</v>
      </c>
      <c r="G127" s="2">
        <v>0.15</v>
      </c>
      <c r="H127" s="3">
        <v>45613</v>
      </c>
      <c r="I127" s="2">
        <v>150.18</v>
      </c>
      <c r="J127" t="str">
        <f t="shared" si="1"/>
        <v>Nov</v>
      </c>
    </row>
    <row r="128" spans="1:10" ht="29.5" thickBot="1" x14ac:dyDescent="0.4">
      <c r="A128" s="4" t="s">
        <v>65</v>
      </c>
      <c r="B128" s="1" t="s">
        <v>50</v>
      </c>
      <c r="C128" s="1" t="s">
        <v>18</v>
      </c>
      <c r="D128" s="1" t="s">
        <v>21</v>
      </c>
      <c r="E128" s="2">
        <v>1410.59</v>
      </c>
      <c r="F128" s="2">
        <v>15</v>
      </c>
      <c r="G128" s="2">
        <v>0</v>
      </c>
      <c r="H128" s="3">
        <v>45615</v>
      </c>
      <c r="I128" s="2">
        <v>352.65</v>
      </c>
      <c r="J128" t="str">
        <f t="shared" si="1"/>
        <v>Nov</v>
      </c>
    </row>
    <row r="129" spans="1:10" ht="29.5" thickBot="1" x14ac:dyDescent="0.4">
      <c r="A129" s="4" t="s">
        <v>32</v>
      </c>
      <c r="B129" s="1" t="s">
        <v>61</v>
      </c>
      <c r="C129" s="1" t="s">
        <v>20</v>
      </c>
      <c r="D129" s="1" t="s">
        <v>27</v>
      </c>
      <c r="E129" s="2">
        <v>1350.33</v>
      </c>
      <c r="F129" s="2">
        <v>10</v>
      </c>
      <c r="G129" s="2">
        <v>0</v>
      </c>
      <c r="H129" s="3">
        <v>45615</v>
      </c>
      <c r="I129" s="2">
        <v>472.62</v>
      </c>
      <c r="J129" t="str">
        <f t="shared" si="1"/>
        <v>Nov</v>
      </c>
    </row>
    <row r="130" spans="1:10" ht="29.5" thickBot="1" x14ac:dyDescent="0.4">
      <c r="A130" s="4" t="s">
        <v>41</v>
      </c>
      <c r="B130" s="1" t="s">
        <v>45</v>
      </c>
      <c r="C130" s="1" t="s">
        <v>18</v>
      </c>
      <c r="D130" s="1" t="s">
        <v>21</v>
      </c>
      <c r="E130" s="2">
        <v>919.18</v>
      </c>
      <c r="F130" s="2">
        <v>4</v>
      </c>
      <c r="G130" s="2">
        <v>0.15</v>
      </c>
      <c r="H130" s="3">
        <v>45615</v>
      </c>
      <c r="I130" s="2">
        <v>195.33</v>
      </c>
      <c r="J130" t="str">
        <f t="shared" si="1"/>
        <v>Nov</v>
      </c>
    </row>
    <row r="131" spans="1:10" ht="29.5" thickBot="1" x14ac:dyDescent="0.4">
      <c r="A131" s="4" t="s">
        <v>74</v>
      </c>
      <c r="B131" s="1" t="s">
        <v>23</v>
      </c>
      <c r="C131" s="1" t="s">
        <v>11</v>
      </c>
      <c r="D131" s="1" t="s">
        <v>21</v>
      </c>
      <c r="E131" s="2">
        <v>258.51</v>
      </c>
      <c r="F131" s="2">
        <v>19</v>
      </c>
      <c r="G131" s="2">
        <v>0</v>
      </c>
      <c r="H131" s="3">
        <v>45616</v>
      </c>
      <c r="I131" s="2">
        <v>64.63</v>
      </c>
      <c r="J131" t="str">
        <f t="shared" ref="J131:J194" si="2">TEXT(H131,"mmm")</f>
        <v>Nov</v>
      </c>
    </row>
    <row r="132" spans="1:10" ht="29.5" thickBot="1" x14ac:dyDescent="0.4">
      <c r="A132" s="4" t="s">
        <v>63</v>
      </c>
      <c r="B132" s="1" t="s">
        <v>61</v>
      </c>
      <c r="C132" s="1" t="s">
        <v>18</v>
      </c>
      <c r="D132" s="1" t="s">
        <v>12</v>
      </c>
      <c r="E132" s="2">
        <v>1213.48</v>
      </c>
      <c r="F132" s="2">
        <v>5</v>
      </c>
      <c r="G132" s="2">
        <v>0.05</v>
      </c>
      <c r="H132" s="3">
        <v>45616</v>
      </c>
      <c r="I132" s="2">
        <v>461.12</v>
      </c>
      <c r="J132" t="str">
        <f t="shared" si="2"/>
        <v>Nov</v>
      </c>
    </row>
    <row r="133" spans="1:10" ht="29.5" thickBot="1" x14ac:dyDescent="0.4">
      <c r="A133" s="4" t="s">
        <v>57</v>
      </c>
      <c r="B133" s="1" t="s">
        <v>38</v>
      </c>
      <c r="C133" s="1" t="s">
        <v>34</v>
      </c>
      <c r="D133" s="1" t="s">
        <v>12</v>
      </c>
      <c r="E133" s="2">
        <v>1150.28</v>
      </c>
      <c r="F133" s="2">
        <v>8</v>
      </c>
      <c r="G133" s="2">
        <v>0.05</v>
      </c>
      <c r="H133" s="3">
        <v>45622</v>
      </c>
      <c r="I133" s="2">
        <v>437.11</v>
      </c>
      <c r="J133" t="str">
        <f t="shared" si="2"/>
        <v>Nov</v>
      </c>
    </row>
    <row r="134" spans="1:10" ht="29.5" thickBot="1" x14ac:dyDescent="0.4">
      <c r="A134" s="4" t="s">
        <v>37</v>
      </c>
      <c r="B134" s="1" t="s">
        <v>71</v>
      </c>
      <c r="C134" s="1" t="s">
        <v>20</v>
      </c>
      <c r="D134" s="1" t="s">
        <v>27</v>
      </c>
      <c r="E134" s="2">
        <v>853.86</v>
      </c>
      <c r="F134" s="2">
        <v>8</v>
      </c>
      <c r="G134" s="2">
        <v>0.1</v>
      </c>
      <c r="H134" s="3">
        <v>45622</v>
      </c>
      <c r="I134" s="2">
        <v>268.97000000000003</v>
      </c>
      <c r="J134" t="str">
        <f t="shared" si="2"/>
        <v>Nov</v>
      </c>
    </row>
    <row r="135" spans="1:10" ht="29.5" thickBot="1" x14ac:dyDescent="0.4">
      <c r="A135" s="4" t="s">
        <v>75</v>
      </c>
      <c r="B135" s="1" t="s">
        <v>45</v>
      </c>
      <c r="C135" s="1" t="s">
        <v>20</v>
      </c>
      <c r="D135" s="1" t="s">
        <v>21</v>
      </c>
      <c r="E135" s="2">
        <v>1061.04</v>
      </c>
      <c r="F135" s="2">
        <v>1</v>
      </c>
      <c r="G135" s="2">
        <v>0</v>
      </c>
      <c r="H135" s="3">
        <v>45624</v>
      </c>
      <c r="I135" s="2">
        <v>265.26</v>
      </c>
      <c r="J135" t="str">
        <f t="shared" si="2"/>
        <v>Nov</v>
      </c>
    </row>
    <row r="136" spans="1:10" ht="29.5" thickBot="1" x14ac:dyDescent="0.4">
      <c r="A136" s="4" t="s">
        <v>28</v>
      </c>
      <c r="B136" s="1" t="s">
        <v>43</v>
      </c>
      <c r="C136" s="1" t="s">
        <v>11</v>
      </c>
      <c r="D136" s="1" t="s">
        <v>21</v>
      </c>
      <c r="E136" s="2">
        <v>894.55</v>
      </c>
      <c r="F136" s="2">
        <v>19</v>
      </c>
      <c r="G136" s="2">
        <v>0.2</v>
      </c>
      <c r="H136" s="3">
        <v>45625</v>
      </c>
      <c r="I136" s="2">
        <v>178.91</v>
      </c>
      <c r="J136" t="str">
        <f t="shared" si="2"/>
        <v>Nov</v>
      </c>
    </row>
    <row r="137" spans="1:10" ht="29.5" thickBot="1" x14ac:dyDescent="0.4">
      <c r="A137" s="4" t="s">
        <v>25</v>
      </c>
      <c r="B137" s="1" t="s">
        <v>38</v>
      </c>
      <c r="C137" s="1" t="s">
        <v>24</v>
      </c>
      <c r="D137" s="1" t="s">
        <v>39</v>
      </c>
      <c r="E137" s="2">
        <v>833.91</v>
      </c>
      <c r="F137" s="2">
        <v>3</v>
      </c>
      <c r="G137" s="2">
        <v>0.05</v>
      </c>
      <c r="H137" s="3">
        <v>45626</v>
      </c>
      <c r="I137" s="2">
        <v>356.5</v>
      </c>
      <c r="J137" t="str">
        <f t="shared" si="2"/>
        <v>Nov</v>
      </c>
    </row>
    <row r="138" spans="1:10" ht="29.5" thickBot="1" x14ac:dyDescent="0.4">
      <c r="A138" s="4" t="s">
        <v>58</v>
      </c>
      <c r="B138" s="1" t="s">
        <v>71</v>
      </c>
      <c r="C138" s="1" t="s">
        <v>11</v>
      </c>
      <c r="D138" s="1" t="s">
        <v>27</v>
      </c>
      <c r="E138" s="2">
        <v>820.19</v>
      </c>
      <c r="F138" s="2">
        <v>4</v>
      </c>
      <c r="G138" s="2">
        <v>0.2</v>
      </c>
      <c r="H138" s="3">
        <v>45630</v>
      </c>
      <c r="I138" s="2">
        <v>229.65</v>
      </c>
      <c r="J138" t="str">
        <f t="shared" si="2"/>
        <v>Dec</v>
      </c>
    </row>
    <row r="139" spans="1:10" ht="29.5" thickBot="1" x14ac:dyDescent="0.4">
      <c r="A139" s="4" t="s">
        <v>58</v>
      </c>
      <c r="B139" s="1" t="s">
        <v>38</v>
      </c>
      <c r="C139" s="1" t="s">
        <v>34</v>
      </c>
      <c r="D139" s="1" t="s">
        <v>21</v>
      </c>
      <c r="E139" s="2">
        <v>511.74</v>
      </c>
      <c r="F139" s="2">
        <v>8</v>
      </c>
      <c r="G139" s="2">
        <v>0.05</v>
      </c>
      <c r="H139" s="3">
        <v>45631</v>
      </c>
      <c r="I139" s="2">
        <v>121.54</v>
      </c>
      <c r="J139" t="str">
        <f t="shared" si="2"/>
        <v>Dec</v>
      </c>
    </row>
    <row r="140" spans="1:10" ht="29.5" thickBot="1" x14ac:dyDescent="0.4">
      <c r="A140" s="4" t="s">
        <v>65</v>
      </c>
      <c r="B140" s="1" t="s">
        <v>61</v>
      </c>
      <c r="C140" s="1" t="s">
        <v>20</v>
      </c>
      <c r="D140" s="1" t="s">
        <v>27</v>
      </c>
      <c r="E140" s="2">
        <v>806.03</v>
      </c>
      <c r="F140" s="2">
        <v>19</v>
      </c>
      <c r="G140" s="2">
        <v>0.05</v>
      </c>
      <c r="H140" s="3">
        <v>45638</v>
      </c>
      <c r="I140" s="2">
        <v>268</v>
      </c>
      <c r="J140" t="str">
        <f t="shared" si="2"/>
        <v>Dec</v>
      </c>
    </row>
    <row r="141" spans="1:10" ht="29.5" thickBot="1" x14ac:dyDescent="0.4">
      <c r="A141" s="4" t="s">
        <v>28</v>
      </c>
      <c r="B141" s="1" t="s">
        <v>26</v>
      </c>
      <c r="C141" s="1" t="s">
        <v>34</v>
      </c>
      <c r="D141" s="1" t="s">
        <v>27</v>
      </c>
      <c r="E141" s="2">
        <v>1432.47</v>
      </c>
      <c r="F141" s="2">
        <v>16</v>
      </c>
      <c r="G141" s="2">
        <v>0.15</v>
      </c>
      <c r="H141" s="3">
        <v>45640</v>
      </c>
      <c r="I141" s="2">
        <v>426.16</v>
      </c>
      <c r="J141" t="str">
        <f t="shared" si="2"/>
        <v>Dec</v>
      </c>
    </row>
    <row r="142" spans="1:10" ht="29.5" thickBot="1" x14ac:dyDescent="0.4">
      <c r="A142" s="4" t="s">
        <v>74</v>
      </c>
      <c r="B142" s="1" t="s">
        <v>29</v>
      </c>
      <c r="C142" s="1" t="s">
        <v>34</v>
      </c>
      <c r="D142" s="1" t="s">
        <v>21</v>
      </c>
      <c r="E142" s="2">
        <v>1488.58</v>
      </c>
      <c r="F142" s="2">
        <v>10</v>
      </c>
      <c r="G142" s="2">
        <v>0.15</v>
      </c>
      <c r="H142" s="3">
        <v>45640</v>
      </c>
      <c r="I142" s="2">
        <v>316.32</v>
      </c>
      <c r="J142" t="str">
        <f t="shared" si="2"/>
        <v>Dec</v>
      </c>
    </row>
    <row r="143" spans="1:10" ht="29.5" thickBot="1" x14ac:dyDescent="0.4">
      <c r="A143" s="4" t="s">
        <v>30</v>
      </c>
      <c r="B143" s="1" t="s">
        <v>66</v>
      </c>
      <c r="C143" s="1" t="s">
        <v>18</v>
      </c>
      <c r="D143" s="1" t="s">
        <v>12</v>
      </c>
      <c r="E143" s="2">
        <v>1231.26</v>
      </c>
      <c r="F143" s="2">
        <v>9</v>
      </c>
      <c r="G143" s="2">
        <v>0</v>
      </c>
      <c r="H143" s="3">
        <v>45646</v>
      </c>
      <c r="I143" s="2">
        <v>492.5</v>
      </c>
      <c r="J143" t="str">
        <f t="shared" si="2"/>
        <v>Dec</v>
      </c>
    </row>
    <row r="144" spans="1:10" ht="29.5" thickBot="1" x14ac:dyDescent="0.4">
      <c r="A144" s="4" t="s">
        <v>30</v>
      </c>
      <c r="B144" s="1" t="s">
        <v>43</v>
      </c>
      <c r="C144" s="1" t="s">
        <v>11</v>
      </c>
      <c r="D144" s="1" t="s">
        <v>21</v>
      </c>
      <c r="E144" s="2">
        <v>1161.67</v>
      </c>
      <c r="F144" s="2">
        <v>19</v>
      </c>
      <c r="G144" s="2">
        <v>0.2</v>
      </c>
      <c r="H144" s="3">
        <v>45647</v>
      </c>
      <c r="I144" s="2">
        <v>232.33</v>
      </c>
      <c r="J144" t="str">
        <f t="shared" si="2"/>
        <v>Dec</v>
      </c>
    </row>
    <row r="145" spans="1:10" ht="29.5" thickBot="1" x14ac:dyDescent="0.4">
      <c r="A145" s="4" t="s">
        <v>49</v>
      </c>
      <c r="B145" s="1" t="s">
        <v>45</v>
      </c>
      <c r="C145" s="1" t="s">
        <v>34</v>
      </c>
      <c r="D145" s="1" t="s">
        <v>39</v>
      </c>
      <c r="E145" s="2">
        <v>388.23</v>
      </c>
      <c r="F145" s="2">
        <v>16</v>
      </c>
      <c r="G145" s="2">
        <v>0.05</v>
      </c>
      <c r="H145" s="3">
        <v>45650</v>
      </c>
      <c r="I145" s="2">
        <v>165.97</v>
      </c>
      <c r="J145" t="str">
        <f t="shared" si="2"/>
        <v>Dec</v>
      </c>
    </row>
    <row r="146" spans="1:10" ht="15" thickBot="1" x14ac:dyDescent="0.4">
      <c r="A146" s="4" t="s">
        <v>72</v>
      </c>
      <c r="B146" s="1" t="s">
        <v>31</v>
      </c>
      <c r="C146" s="1" t="s">
        <v>24</v>
      </c>
      <c r="D146" s="1" t="s">
        <v>15</v>
      </c>
      <c r="E146" s="2">
        <v>1589.42</v>
      </c>
      <c r="F146" s="2">
        <v>6</v>
      </c>
      <c r="G146" s="2">
        <v>0.15</v>
      </c>
      <c r="H146" s="3">
        <v>45651</v>
      </c>
      <c r="I146" s="2">
        <v>675.5</v>
      </c>
      <c r="J146" t="str">
        <f t="shared" si="2"/>
        <v>Dec</v>
      </c>
    </row>
    <row r="147" spans="1:10" ht="29.5" thickBot="1" x14ac:dyDescent="0.4">
      <c r="A147" s="4" t="s">
        <v>28</v>
      </c>
      <c r="B147" s="1" t="s">
        <v>71</v>
      </c>
      <c r="C147" s="1" t="s">
        <v>24</v>
      </c>
      <c r="D147" s="1" t="s">
        <v>15</v>
      </c>
      <c r="E147" s="2">
        <v>336.66</v>
      </c>
      <c r="F147" s="2">
        <v>13</v>
      </c>
      <c r="G147" s="2">
        <v>0.2</v>
      </c>
      <c r="H147" s="3">
        <v>45651</v>
      </c>
      <c r="I147" s="2">
        <v>134.66</v>
      </c>
      <c r="J147" t="str">
        <f t="shared" si="2"/>
        <v>Dec</v>
      </c>
    </row>
    <row r="148" spans="1:10" ht="29.5" thickBot="1" x14ac:dyDescent="0.4">
      <c r="A148" s="4" t="s">
        <v>49</v>
      </c>
      <c r="B148" s="1" t="s">
        <v>23</v>
      </c>
      <c r="C148" s="1" t="s">
        <v>11</v>
      </c>
      <c r="D148" s="1" t="s">
        <v>12</v>
      </c>
      <c r="E148" s="2">
        <v>1353.79</v>
      </c>
      <c r="F148" s="2">
        <v>14</v>
      </c>
      <c r="G148" s="2">
        <v>0.1</v>
      </c>
      <c r="H148" s="3">
        <v>45656</v>
      </c>
      <c r="I148" s="2">
        <v>487.36</v>
      </c>
      <c r="J148" t="str">
        <f t="shared" si="2"/>
        <v>Dec</v>
      </c>
    </row>
    <row r="149" spans="1:10" ht="29.5" thickBot="1" x14ac:dyDescent="0.4">
      <c r="A149" s="4" t="s">
        <v>63</v>
      </c>
      <c r="B149" s="1" t="s">
        <v>69</v>
      </c>
      <c r="C149" s="1" t="s">
        <v>34</v>
      </c>
      <c r="D149" s="1" t="s">
        <v>15</v>
      </c>
      <c r="E149" s="2">
        <v>662.61</v>
      </c>
      <c r="F149" s="2">
        <v>11</v>
      </c>
      <c r="G149" s="2">
        <v>0.05</v>
      </c>
      <c r="H149" s="3">
        <v>45658</v>
      </c>
      <c r="I149" s="2">
        <v>314.74</v>
      </c>
      <c r="J149" t="str">
        <f t="shared" si="2"/>
        <v>Jan</v>
      </c>
    </row>
    <row r="150" spans="1:10" ht="29.5" thickBot="1" x14ac:dyDescent="0.4">
      <c r="A150" s="4" t="s">
        <v>52</v>
      </c>
      <c r="B150" s="1" t="s">
        <v>48</v>
      </c>
      <c r="C150" s="1" t="s">
        <v>24</v>
      </c>
      <c r="D150" s="1" t="s">
        <v>39</v>
      </c>
      <c r="E150" s="2">
        <v>309.42</v>
      </c>
      <c r="F150" s="2">
        <v>1</v>
      </c>
      <c r="G150" s="2">
        <v>0.2</v>
      </c>
      <c r="H150" s="3">
        <v>45658</v>
      </c>
      <c r="I150" s="2">
        <v>111.39</v>
      </c>
      <c r="J150" t="str">
        <f t="shared" si="2"/>
        <v>Jan</v>
      </c>
    </row>
    <row r="151" spans="1:10" ht="29.5" thickBot="1" x14ac:dyDescent="0.4">
      <c r="A151" s="4" t="s">
        <v>63</v>
      </c>
      <c r="B151" s="1" t="s">
        <v>29</v>
      </c>
      <c r="C151" s="1" t="s">
        <v>24</v>
      </c>
      <c r="D151" s="1" t="s">
        <v>12</v>
      </c>
      <c r="E151" s="2">
        <v>884.63</v>
      </c>
      <c r="F151" s="2">
        <v>18</v>
      </c>
      <c r="G151" s="2">
        <v>0.1</v>
      </c>
      <c r="H151" s="3">
        <v>45659</v>
      </c>
      <c r="I151" s="2">
        <v>318.47000000000003</v>
      </c>
      <c r="J151" t="str">
        <f t="shared" si="2"/>
        <v>Jan</v>
      </c>
    </row>
    <row r="152" spans="1:10" ht="29.5" thickBot="1" x14ac:dyDescent="0.4">
      <c r="A152" s="4" t="s">
        <v>52</v>
      </c>
      <c r="B152" s="1" t="s">
        <v>23</v>
      </c>
      <c r="C152" s="1" t="s">
        <v>34</v>
      </c>
      <c r="D152" s="1" t="s">
        <v>39</v>
      </c>
      <c r="E152" s="2">
        <v>745.05</v>
      </c>
      <c r="F152" s="2">
        <v>10</v>
      </c>
      <c r="G152" s="2">
        <v>0.1</v>
      </c>
      <c r="H152" s="3">
        <v>45660</v>
      </c>
      <c r="I152" s="2">
        <v>301.75</v>
      </c>
      <c r="J152" t="str">
        <f t="shared" si="2"/>
        <v>Jan</v>
      </c>
    </row>
    <row r="153" spans="1:10" ht="29.5" thickBot="1" x14ac:dyDescent="0.4">
      <c r="A153" s="4" t="s">
        <v>60</v>
      </c>
      <c r="B153" s="1" t="s">
        <v>17</v>
      </c>
      <c r="C153" s="1" t="s">
        <v>20</v>
      </c>
      <c r="D153" s="1" t="s">
        <v>15</v>
      </c>
      <c r="E153" s="2">
        <v>870.23</v>
      </c>
      <c r="F153" s="2">
        <v>5</v>
      </c>
      <c r="G153" s="2">
        <v>0.05</v>
      </c>
      <c r="H153" s="3">
        <v>45660</v>
      </c>
      <c r="I153" s="2">
        <v>413.36</v>
      </c>
      <c r="J153" t="str">
        <f t="shared" si="2"/>
        <v>Jan</v>
      </c>
    </row>
    <row r="154" spans="1:10" ht="29.5" thickBot="1" x14ac:dyDescent="0.4">
      <c r="A154" s="4" t="s">
        <v>35</v>
      </c>
      <c r="B154" s="1" t="s">
        <v>29</v>
      </c>
      <c r="C154" s="1" t="s">
        <v>11</v>
      </c>
      <c r="D154" s="1" t="s">
        <v>27</v>
      </c>
      <c r="E154" s="2">
        <v>862.19</v>
      </c>
      <c r="F154" s="2">
        <v>18</v>
      </c>
      <c r="G154" s="2">
        <v>0.05</v>
      </c>
      <c r="H154" s="3">
        <v>45663</v>
      </c>
      <c r="I154" s="2">
        <v>286.68</v>
      </c>
      <c r="J154" t="str">
        <f t="shared" si="2"/>
        <v>Jan</v>
      </c>
    </row>
    <row r="155" spans="1:10" ht="29.5" thickBot="1" x14ac:dyDescent="0.4">
      <c r="A155" s="4" t="s">
        <v>73</v>
      </c>
      <c r="B155" s="1" t="s">
        <v>59</v>
      </c>
      <c r="C155" s="1" t="s">
        <v>24</v>
      </c>
      <c r="D155" s="1" t="s">
        <v>15</v>
      </c>
      <c r="E155" s="2">
        <v>1171.18</v>
      </c>
      <c r="F155" s="2">
        <v>19</v>
      </c>
      <c r="G155" s="2">
        <v>0.05</v>
      </c>
      <c r="H155" s="3">
        <v>45667</v>
      </c>
      <c r="I155" s="2">
        <v>556.30999999999995</v>
      </c>
      <c r="J155" t="str">
        <f t="shared" si="2"/>
        <v>Jan</v>
      </c>
    </row>
    <row r="156" spans="1:10" ht="29.5" thickBot="1" x14ac:dyDescent="0.4">
      <c r="A156" s="4" t="s">
        <v>58</v>
      </c>
      <c r="B156" s="1" t="s">
        <v>14</v>
      </c>
      <c r="C156" s="1" t="s">
        <v>20</v>
      </c>
      <c r="D156" s="1" t="s">
        <v>27</v>
      </c>
      <c r="E156" s="2">
        <v>1054.56</v>
      </c>
      <c r="F156" s="2">
        <v>11</v>
      </c>
      <c r="G156" s="2">
        <v>0.1</v>
      </c>
      <c r="H156" s="3">
        <v>45669</v>
      </c>
      <c r="I156" s="2">
        <v>332.19</v>
      </c>
      <c r="J156" t="str">
        <f t="shared" si="2"/>
        <v>Jan</v>
      </c>
    </row>
    <row r="157" spans="1:10" ht="29.5" thickBot="1" x14ac:dyDescent="0.4">
      <c r="A157" s="4" t="s">
        <v>58</v>
      </c>
      <c r="B157" s="1" t="s">
        <v>23</v>
      </c>
      <c r="C157" s="1" t="s">
        <v>24</v>
      </c>
      <c r="D157" s="1" t="s">
        <v>21</v>
      </c>
      <c r="E157" s="2">
        <v>1681.21</v>
      </c>
      <c r="F157" s="2">
        <v>5</v>
      </c>
      <c r="G157" s="2">
        <v>0.2</v>
      </c>
      <c r="H157" s="3">
        <v>45670</v>
      </c>
      <c r="I157" s="2">
        <v>336.24</v>
      </c>
      <c r="J157" t="str">
        <f t="shared" si="2"/>
        <v>Jan</v>
      </c>
    </row>
    <row r="158" spans="1:10" ht="29.5" thickBot="1" x14ac:dyDescent="0.4">
      <c r="A158" s="4" t="s">
        <v>58</v>
      </c>
      <c r="B158" s="1" t="s">
        <v>36</v>
      </c>
      <c r="C158" s="1" t="s">
        <v>11</v>
      </c>
      <c r="D158" s="1" t="s">
        <v>15</v>
      </c>
      <c r="E158" s="2">
        <v>379.77</v>
      </c>
      <c r="F158" s="2">
        <v>9</v>
      </c>
      <c r="G158" s="2">
        <v>0.05</v>
      </c>
      <c r="H158" s="3">
        <v>45673</v>
      </c>
      <c r="I158" s="2">
        <v>180.39</v>
      </c>
      <c r="J158" t="str">
        <f t="shared" si="2"/>
        <v>Jan</v>
      </c>
    </row>
    <row r="159" spans="1:10" ht="29.5" thickBot="1" x14ac:dyDescent="0.4">
      <c r="A159" s="4" t="s">
        <v>44</v>
      </c>
      <c r="B159" s="1" t="s">
        <v>45</v>
      </c>
      <c r="C159" s="1" t="s">
        <v>34</v>
      </c>
      <c r="D159" s="1" t="s">
        <v>15</v>
      </c>
      <c r="E159" s="2">
        <v>1076.33</v>
      </c>
      <c r="F159" s="2">
        <v>2</v>
      </c>
      <c r="G159" s="2">
        <v>0.1</v>
      </c>
      <c r="H159" s="3">
        <v>45674</v>
      </c>
      <c r="I159" s="2">
        <v>484.35</v>
      </c>
      <c r="J159" t="str">
        <f t="shared" si="2"/>
        <v>Jan</v>
      </c>
    </row>
    <row r="160" spans="1:10" ht="29.5" thickBot="1" x14ac:dyDescent="0.4">
      <c r="A160" s="4" t="s">
        <v>44</v>
      </c>
      <c r="B160" s="1" t="s">
        <v>31</v>
      </c>
      <c r="C160" s="1" t="s">
        <v>34</v>
      </c>
      <c r="D160" s="1" t="s">
        <v>39</v>
      </c>
      <c r="E160" s="2">
        <v>1250.71</v>
      </c>
      <c r="F160" s="2">
        <v>7</v>
      </c>
      <c r="G160" s="2">
        <v>0</v>
      </c>
      <c r="H160" s="3">
        <v>45674</v>
      </c>
      <c r="I160" s="2">
        <v>562.82000000000005</v>
      </c>
      <c r="J160" t="str">
        <f t="shared" si="2"/>
        <v>Jan</v>
      </c>
    </row>
    <row r="161" spans="1:10" ht="29.5" thickBot="1" x14ac:dyDescent="0.4">
      <c r="A161" s="4" t="s">
        <v>40</v>
      </c>
      <c r="B161" s="1" t="s">
        <v>17</v>
      </c>
      <c r="C161" s="1" t="s">
        <v>20</v>
      </c>
      <c r="D161" s="1" t="s">
        <v>15</v>
      </c>
      <c r="E161" s="2">
        <v>1118.3399999999999</v>
      </c>
      <c r="F161" s="2">
        <v>6</v>
      </c>
      <c r="G161" s="2">
        <v>0.2</v>
      </c>
      <c r="H161" s="3">
        <v>45674</v>
      </c>
      <c r="I161" s="2">
        <v>447.34</v>
      </c>
      <c r="J161" t="str">
        <f t="shared" si="2"/>
        <v>Jan</v>
      </c>
    </row>
    <row r="162" spans="1:10" ht="29.5" thickBot="1" x14ac:dyDescent="0.4">
      <c r="A162" s="4" t="s">
        <v>70</v>
      </c>
      <c r="B162" s="1" t="s">
        <v>53</v>
      </c>
      <c r="C162" s="1" t="s">
        <v>24</v>
      </c>
      <c r="D162" s="1" t="s">
        <v>15</v>
      </c>
      <c r="E162" s="2">
        <v>1622.62</v>
      </c>
      <c r="F162" s="2">
        <v>12</v>
      </c>
      <c r="G162" s="2">
        <v>0.2</v>
      </c>
      <c r="H162" s="3">
        <v>45677</v>
      </c>
      <c r="I162" s="2">
        <v>649.04999999999995</v>
      </c>
      <c r="J162" t="str">
        <f t="shared" si="2"/>
        <v>Jan</v>
      </c>
    </row>
    <row r="163" spans="1:10" ht="15" thickBot="1" x14ac:dyDescent="0.4">
      <c r="A163" s="4" t="s">
        <v>75</v>
      </c>
      <c r="B163" s="1" t="s">
        <v>48</v>
      </c>
      <c r="C163" s="1" t="s">
        <v>24</v>
      </c>
      <c r="D163" s="1" t="s">
        <v>12</v>
      </c>
      <c r="E163" s="2">
        <v>640.64</v>
      </c>
      <c r="F163" s="2">
        <v>11</v>
      </c>
      <c r="G163" s="2">
        <v>0.2</v>
      </c>
      <c r="H163" s="3">
        <v>45678</v>
      </c>
      <c r="I163" s="2">
        <v>205</v>
      </c>
      <c r="J163" t="str">
        <f t="shared" si="2"/>
        <v>Jan</v>
      </c>
    </row>
    <row r="164" spans="1:10" ht="29.5" thickBot="1" x14ac:dyDescent="0.4">
      <c r="A164" s="4" t="s">
        <v>22</v>
      </c>
      <c r="B164" s="1" t="s">
        <v>43</v>
      </c>
      <c r="C164" s="1" t="s">
        <v>11</v>
      </c>
      <c r="D164" s="1" t="s">
        <v>15</v>
      </c>
      <c r="E164" s="2">
        <v>585.16</v>
      </c>
      <c r="F164" s="2">
        <v>17</v>
      </c>
      <c r="G164" s="2">
        <v>0.1</v>
      </c>
      <c r="H164" s="3">
        <v>45684</v>
      </c>
      <c r="I164" s="2">
        <v>263.32</v>
      </c>
      <c r="J164" t="str">
        <f t="shared" si="2"/>
        <v>Jan</v>
      </c>
    </row>
    <row r="165" spans="1:10" ht="15" thickBot="1" x14ac:dyDescent="0.4">
      <c r="A165" s="4" t="s">
        <v>22</v>
      </c>
      <c r="B165" s="1" t="s">
        <v>31</v>
      </c>
      <c r="C165" s="1" t="s">
        <v>18</v>
      </c>
      <c r="D165" s="1" t="s">
        <v>15</v>
      </c>
      <c r="E165" s="2">
        <v>1109.98</v>
      </c>
      <c r="F165" s="2">
        <v>5</v>
      </c>
      <c r="G165" s="2">
        <v>0.2</v>
      </c>
      <c r="H165" s="3">
        <v>45690</v>
      </c>
      <c r="I165" s="2">
        <v>443.99</v>
      </c>
      <c r="J165" t="str">
        <f t="shared" si="2"/>
        <v>Feb</v>
      </c>
    </row>
    <row r="166" spans="1:10" ht="29.5" thickBot="1" x14ac:dyDescent="0.4">
      <c r="A166" s="4" t="s">
        <v>58</v>
      </c>
      <c r="B166" s="1" t="s">
        <v>45</v>
      </c>
      <c r="C166" s="1" t="s">
        <v>18</v>
      </c>
      <c r="D166" s="1" t="s">
        <v>12</v>
      </c>
      <c r="E166" s="2">
        <v>1098.08</v>
      </c>
      <c r="F166" s="2">
        <v>9</v>
      </c>
      <c r="G166" s="2">
        <v>0.1</v>
      </c>
      <c r="H166" s="3">
        <v>45692</v>
      </c>
      <c r="I166" s="2">
        <v>395.31</v>
      </c>
      <c r="J166" t="str">
        <f t="shared" si="2"/>
        <v>Feb</v>
      </c>
    </row>
    <row r="167" spans="1:10" ht="29.5" thickBot="1" x14ac:dyDescent="0.4">
      <c r="A167" s="4" t="s">
        <v>65</v>
      </c>
      <c r="B167" s="1" t="s">
        <v>48</v>
      </c>
      <c r="C167" s="1" t="s">
        <v>11</v>
      </c>
      <c r="D167" s="1" t="s">
        <v>39</v>
      </c>
      <c r="E167" s="2">
        <v>827.25</v>
      </c>
      <c r="F167" s="2">
        <v>7</v>
      </c>
      <c r="G167" s="2">
        <v>0.1</v>
      </c>
      <c r="H167" s="3">
        <v>45693</v>
      </c>
      <c r="I167" s="2">
        <v>335.04</v>
      </c>
      <c r="J167" t="str">
        <f t="shared" si="2"/>
        <v>Feb</v>
      </c>
    </row>
    <row r="168" spans="1:10" ht="29.5" thickBot="1" x14ac:dyDescent="0.4">
      <c r="A168" s="4" t="s">
        <v>70</v>
      </c>
      <c r="B168" s="1" t="s">
        <v>29</v>
      </c>
      <c r="C168" s="1" t="s">
        <v>34</v>
      </c>
      <c r="D168" s="1" t="s">
        <v>15</v>
      </c>
      <c r="E168" s="2">
        <v>741.88</v>
      </c>
      <c r="F168" s="2">
        <v>16</v>
      </c>
      <c r="G168" s="2">
        <v>0.1</v>
      </c>
      <c r="H168" s="3">
        <v>45695</v>
      </c>
      <c r="I168" s="2">
        <v>333.85</v>
      </c>
      <c r="J168" t="str">
        <f t="shared" si="2"/>
        <v>Feb</v>
      </c>
    </row>
    <row r="169" spans="1:10" ht="29.5" thickBot="1" x14ac:dyDescent="0.4">
      <c r="A169" s="4" t="s">
        <v>72</v>
      </c>
      <c r="B169" s="1" t="s">
        <v>10</v>
      </c>
      <c r="C169" s="1" t="s">
        <v>18</v>
      </c>
      <c r="D169" s="1" t="s">
        <v>39</v>
      </c>
      <c r="E169" s="2">
        <v>1311.26</v>
      </c>
      <c r="F169" s="2">
        <v>6</v>
      </c>
      <c r="G169" s="2">
        <v>0.1</v>
      </c>
      <c r="H169" s="3">
        <v>45698</v>
      </c>
      <c r="I169" s="2">
        <v>531.05999999999995</v>
      </c>
      <c r="J169" t="str">
        <f t="shared" si="2"/>
        <v>Feb</v>
      </c>
    </row>
    <row r="170" spans="1:10" ht="29.5" thickBot="1" x14ac:dyDescent="0.4">
      <c r="A170" s="4" t="s">
        <v>72</v>
      </c>
      <c r="B170" s="1" t="s">
        <v>31</v>
      </c>
      <c r="C170" s="1" t="s">
        <v>20</v>
      </c>
      <c r="D170" s="1" t="s">
        <v>39</v>
      </c>
      <c r="E170" s="2">
        <v>573.32000000000005</v>
      </c>
      <c r="F170" s="2">
        <v>19</v>
      </c>
      <c r="G170" s="2">
        <v>0.1</v>
      </c>
      <c r="H170" s="3">
        <v>45703</v>
      </c>
      <c r="I170" s="2">
        <v>232.19</v>
      </c>
      <c r="J170" t="str">
        <f t="shared" si="2"/>
        <v>Feb</v>
      </c>
    </row>
    <row r="171" spans="1:10" ht="29.5" thickBot="1" x14ac:dyDescent="0.4">
      <c r="A171" s="4" t="s">
        <v>52</v>
      </c>
      <c r="B171" s="1" t="s">
        <v>23</v>
      </c>
      <c r="C171" s="1" t="s">
        <v>11</v>
      </c>
      <c r="D171" s="1" t="s">
        <v>21</v>
      </c>
      <c r="E171" s="2">
        <v>1115.22</v>
      </c>
      <c r="F171" s="2">
        <v>14</v>
      </c>
      <c r="G171" s="2">
        <v>0.2</v>
      </c>
      <c r="H171" s="3">
        <v>45705</v>
      </c>
      <c r="I171" s="2">
        <v>223.04</v>
      </c>
      <c r="J171" t="str">
        <f t="shared" si="2"/>
        <v>Feb</v>
      </c>
    </row>
    <row r="172" spans="1:10" ht="29.5" thickBot="1" x14ac:dyDescent="0.4">
      <c r="A172" s="4" t="s">
        <v>13</v>
      </c>
      <c r="B172" s="1" t="s">
        <v>45</v>
      </c>
      <c r="C172" s="1" t="s">
        <v>24</v>
      </c>
      <c r="D172" s="1" t="s">
        <v>15</v>
      </c>
      <c r="E172" s="2">
        <v>845.84</v>
      </c>
      <c r="F172" s="2">
        <v>4</v>
      </c>
      <c r="G172" s="2">
        <v>0</v>
      </c>
      <c r="H172" s="3">
        <v>45707</v>
      </c>
      <c r="I172" s="2">
        <v>422.92</v>
      </c>
      <c r="J172" t="str">
        <f t="shared" si="2"/>
        <v>Feb</v>
      </c>
    </row>
    <row r="173" spans="1:10" ht="29.5" thickBot="1" x14ac:dyDescent="0.4">
      <c r="A173" s="4" t="s">
        <v>30</v>
      </c>
      <c r="B173" s="1" t="s">
        <v>55</v>
      </c>
      <c r="C173" s="1" t="s">
        <v>11</v>
      </c>
      <c r="D173" s="1" t="s">
        <v>21</v>
      </c>
      <c r="E173" s="2">
        <v>1029.8</v>
      </c>
      <c r="F173" s="2">
        <v>3</v>
      </c>
      <c r="G173" s="2">
        <v>0</v>
      </c>
      <c r="H173" s="3">
        <v>45708</v>
      </c>
      <c r="I173" s="2">
        <v>257.45</v>
      </c>
      <c r="J173" t="str">
        <f t="shared" si="2"/>
        <v>Feb</v>
      </c>
    </row>
    <row r="174" spans="1:10" ht="15" thickBot="1" x14ac:dyDescent="0.4">
      <c r="A174" s="4" t="s">
        <v>32</v>
      </c>
      <c r="B174" s="1" t="s">
        <v>31</v>
      </c>
      <c r="C174" s="1" t="s">
        <v>24</v>
      </c>
      <c r="D174" s="1" t="s">
        <v>12</v>
      </c>
      <c r="E174" s="2">
        <v>1189.83</v>
      </c>
      <c r="F174" s="2">
        <v>2</v>
      </c>
      <c r="G174" s="2">
        <v>0.2</v>
      </c>
      <c r="H174" s="3">
        <v>45709</v>
      </c>
      <c r="I174" s="2">
        <v>380.75</v>
      </c>
      <c r="J174" t="str">
        <f t="shared" si="2"/>
        <v>Feb</v>
      </c>
    </row>
    <row r="175" spans="1:10" ht="29.5" thickBot="1" x14ac:dyDescent="0.4">
      <c r="A175" s="4" t="s">
        <v>67</v>
      </c>
      <c r="B175" s="1" t="s">
        <v>43</v>
      </c>
      <c r="C175" s="1" t="s">
        <v>20</v>
      </c>
      <c r="D175" s="1" t="s">
        <v>12</v>
      </c>
      <c r="E175" s="2">
        <v>704.28</v>
      </c>
      <c r="F175" s="2">
        <v>15</v>
      </c>
      <c r="G175" s="2">
        <v>0.2</v>
      </c>
      <c r="H175" s="3">
        <v>45712</v>
      </c>
      <c r="I175" s="2">
        <v>225.37</v>
      </c>
      <c r="J175" t="str">
        <f t="shared" si="2"/>
        <v>Feb</v>
      </c>
    </row>
    <row r="176" spans="1:10" ht="29.5" thickBot="1" x14ac:dyDescent="0.4">
      <c r="A176" s="4" t="s">
        <v>65</v>
      </c>
      <c r="B176" s="1" t="s">
        <v>47</v>
      </c>
      <c r="C176" s="1" t="s">
        <v>34</v>
      </c>
      <c r="D176" s="1" t="s">
        <v>39</v>
      </c>
      <c r="E176" s="2">
        <v>1618.22</v>
      </c>
      <c r="F176" s="2">
        <v>12</v>
      </c>
      <c r="G176" s="2">
        <v>0.2</v>
      </c>
      <c r="H176" s="3">
        <v>45712</v>
      </c>
      <c r="I176" s="2">
        <v>582.55999999999995</v>
      </c>
      <c r="J176" t="str">
        <f t="shared" si="2"/>
        <v>Feb</v>
      </c>
    </row>
    <row r="177" spans="1:10" ht="29.5" thickBot="1" x14ac:dyDescent="0.4">
      <c r="A177" s="4" t="s">
        <v>73</v>
      </c>
      <c r="B177" s="1" t="s">
        <v>53</v>
      </c>
      <c r="C177" s="1" t="s">
        <v>34</v>
      </c>
      <c r="D177" s="1" t="s">
        <v>12</v>
      </c>
      <c r="E177" s="2">
        <v>1014.43</v>
      </c>
      <c r="F177" s="2">
        <v>2</v>
      </c>
      <c r="G177" s="2">
        <v>0.15</v>
      </c>
      <c r="H177" s="3">
        <v>45713</v>
      </c>
      <c r="I177" s="2">
        <v>344.91</v>
      </c>
      <c r="J177" t="str">
        <f t="shared" si="2"/>
        <v>Feb</v>
      </c>
    </row>
    <row r="178" spans="1:10" ht="15" thickBot="1" x14ac:dyDescent="0.4">
      <c r="A178" s="4" t="s">
        <v>75</v>
      </c>
      <c r="B178" s="1" t="s">
        <v>31</v>
      </c>
      <c r="C178" s="1" t="s">
        <v>34</v>
      </c>
      <c r="D178" s="1" t="s">
        <v>15</v>
      </c>
      <c r="E178" s="2">
        <v>826.97</v>
      </c>
      <c r="F178" s="2">
        <v>18</v>
      </c>
      <c r="G178" s="2">
        <v>0.2</v>
      </c>
      <c r="H178" s="3">
        <v>45715</v>
      </c>
      <c r="I178" s="2">
        <v>330.79</v>
      </c>
      <c r="J178" t="str">
        <f t="shared" si="2"/>
        <v>Feb</v>
      </c>
    </row>
    <row r="179" spans="1:10" ht="15" thickBot="1" x14ac:dyDescent="0.4">
      <c r="A179" s="4" t="s">
        <v>16</v>
      </c>
      <c r="B179" s="1" t="s">
        <v>31</v>
      </c>
      <c r="C179" s="1" t="s">
        <v>34</v>
      </c>
      <c r="D179" s="1" t="s">
        <v>15</v>
      </c>
      <c r="E179" s="2">
        <v>1022.23</v>
      </c>
      <c r="F179" s="2">
        <v>8</v>
      </c>
      <c r="G179" s="2">
        <v>0.1</v>
      </c>
      <c r="H179" s="3">
        <v>45717</v>
      </c>
      <c r="I179" s="2">
        <v>460</v>
      </c>
      <c r="J179" t="str">
        <f t="shared" si="2"/>
        <v>Mar</v>
      </c>
    </row>
    <row r="180" spans="1:10" ht="29.5" thickBot="1" x14ac:dyDescent="0.4">
      <c r="A180" s="4" t="s">
        <v>72</v>
      </c>
      <c r="B180" s="1" t="s">
        <v>29</v>
      </c>
      <c r="C180" s="1" t="s">
        <v>18</v>
      </c>
      <c r="D180" s="1" t="s">
        <v>12</v>
      </c>
      <c r="E180" s="2">
        <v>1099.69</v>
      </c>
      <c r="F180" s="2">
        <v>6</v>
      </c>
      <c r="G180" s="2">
        <v>0</v>
      </c>
      <c r="H180" s="3">
        <v>45718</v>
      </c>
      <c r="I180" s="2">
        <v>439.88</v>
      </c>
      <c r="J180" t="str">
        <f t="shared" si="2"/>
        <v>Mar</v>
      </c>
    </row>
    <row r="181" spans="1:10" ht="15" thickBot="1" x14ac:dyDescent="0.4">
      <c r="A181" s="4" t="s">
        <v>52</v>
      </c>
      <c r="B181" s="1" t="s">
        <v>64</v>
      </c>
      <c r="C181" s="1" t="s">
        <v>24</v>
      </c>
      <c r="D181" s="1" t="s">
        <v>12</v>
      </c>
      <c r="E181" s="2">
        <v>710.52</v>
      </c>
      <c r="F181" s="2">
        <v>8</v>
      </c>
      <c r="G181" s="2">
        <v>0.1</v>
      </c>
      <c r="H181" s="3">
        <v>45721</v>
      </c>
      <c r="I181" s="2">
        <v>255.79</v>
      </c>
      <c r="J181" t="str">
        <f t="shared" si="2"/>
        <v>Mar</v>
      </c>
    </row>
    <row r="182" spans="1:10" ht="29.5" thickBot="1" x14ac:dyDescent="0.4">
      <c r="A182" s="4" t="s">
        <v>52</v>
      </c>
      <c r="B182" s="1" t="s">
        <v>59</v>
      </c>
      <c r="C182" s="1" t="s">
        <v>24</v>
      </c>
      <c r="D182" s="1" t="s">
        <v>12</v>
      </c>
      <c r="E182" s="2">
        <v>499.18</v>
      </c>
      <c r="F182" s="2">
        <v>15</v>
      </c>
      <c r="G182" s="2">
        <v>0.2</v>
      </c>
      <c r="H182" s="3">
        <v>45724</v>
      </c>
      <c r="I182" s="2">
        <v>159.74</v>
      </c>
      <c r="J182" t="str">
        <f t="shared" si="2"/>
        <v>Mar</v>
      </c>
    </row>
    <row r="183" spans="1:10" ht="29.5" thickBot="1" x14ac:dyDescent="0.4">
      <c r="A183" s="4" t="s">
        <v>37</v>
      </c>
      <c r="B183" s="1" t="s">
        <v>38</v>
      </c>
      <c r="C183" s="1" t="s">
        <v>20</v>
      </c>
      <c r="D183" s="1" t="s">
        <v>12</v>
      </c>
      <c r="E183" s="2">
        <v>1064.19</v>
      </c>
      <c r="F183" s="2">
        <v>18</v>
      </c>
      <c r="G183" s="2">
        <v>0.05</v>
      </c>
      <c r="H183" s="3">
        <v>45725</v>
      </c>
      <c r="I183" s="2">
        <v>404.39</v>
      </c>
      <c r="J183" t="str">
        <f t="shared" si="2"/>
        <v>Mar</v>
      </c>
    </row>
    <row r="184" spans="1:10" ht="29.5" thickBot="1" x14ac:dyDescent="0.4">
      <c r="A184" s="4" t="s">
        <v>67</v>
      </c>
      <c r="B184" s="1" t="s">
        <v>38</v>
      </c>
      <c r="C184" s="1" t="s">
        <v>18</v>
      </c>
      <c r="D184" s="1" t="s">
        <v>39</v>
      </c>
      <c r="E184" s="2">
        <v>438.76</v>
      </c>
      <c r="F184" s="2">
        <v>18</v>
      </c>
      <c r="G184" s="2">
        <v>0.05</v>
      </c>
      <c r="H184" s="3">
        <v>45726</v>
      </c>
      <c r="I184" s="2">
        <v>187.57</v>
      </c>
      <c r="J184" t="str">
        <f t="shared" si="2"/>
        <v>Mar</v>
      </c>
    </row>
    <row r="185" spans="1:10" ht="29.5" thickBot="1" x14ac:dyDescent="0.4">
      <c r="A185" s="4" t="s">
        <v>41</v>
      </c>
      <c r="B185" s="1" t="s">
        <v>55</v>
      </c>
      <c r="C185" s="1" t="s">
        <v>11</v>
      </c>
      <c r="D185" s="1" t="s">
        <v>15</v>
      </c>
      <c r="E185" s="2">
        <v>864.98</v>
      </c>
      <c r="F185" s="2">
        <v>2</v>
      </c>
      <c r="G185" s="2">
        <v>0.05</v>
      </c>
      <c r="H185" s="3">
        <v>45727</v>
      </c>
      <c r="I185" s="2">
        <v>410.87</v>
      </c>
      <c r="J185" t="str">
        <f t="shared" si="2"/>
        <v>Mar</v>
      </c>
    </row>
    <row r="186" spans="1:10" ht="29.5" thickBot="1" x14ac:dyDescent="0.4">
      <c r="A186" s="4" t="s">
        <v>57</v>
      </c>
      <c r="B186" s="1" t="s">
        <v>55</v>
      </c>
      <c r="C186" s="1" t="s">
        <v>11</v>
      </c>
      <c r="D186" s="1" t="s">
        <v>27</v>
      </c>
      <c r="E186" s="2">
        <v>984.93</v>
      </c>
      <c r="F186" s="2">
        <v>14</v>
      </c>
      <c r="G186" s="2">
        <v>0.2</v>
      </c>
      <c r="H186" s="3">
        <v>45733</v>
      </c>
      <c r="I186" s="2">
        <v>275.77999999999997</v>
      </c>
      <c r="J186" t="str">
        <f t="shared" si="2"/>
        <v>Mar</v>
      </c>
    </row>
    <row r="187" spans="1:10" ht="29.5" thickBot="1" x14ac:dyDescent="0.4">
      <c r="A187" s="4" t="s">
        <v>25</v>
      </c>
      <c r="B187" s="1" t="s">
        <v>55</v>
      </c>
      <c r="C187" s="1" t="s">
        <v>11</v>
      </c>
      <c r="D187" s="1" t="s">
        <v>15</v>
      </c>
      <c r="E187" s="2">
        <v>1493.49</v>
      </c>
      <c r="F187" s="2">
        <v>18</v>
      </c>
      <c r="G187" s="2">
        <v>0</v>
      </c>
      <c r="H187" s="3">
        <v>45734</v>
      </c>
      <c r="I187" s="2">
        <v>746.74</v>
      </c>
      <c r="J187" t="str">
        <f t="shared" si="2"/>
        <v>Mar</v>
      </c>
    </row>
    <row r="188" spans="1:10" ht="29.5" thickBot="1" x14ac:dyDescent="0.4">
      <c r="A188" s="4" t="s">
        <v>32</v>
      </c>
      <c r="B188" s="1" t="s">
        <v>53</v>
      </c>
      <c r="C188" s="1" t="s">
        <v>20</v>
      </c>
      <c r="D188" s="1" t="s">
        <v>15</v>
      </c>
      <c r="E188" s="2">
        <v>689.43</v>
      </c>
      <c r="F188" s="2">
        <v>9</v>
      </c>
      <c r="G188" s="2">
        <v>0.1</v>
      </c>
      <c r="H188" s="3">
        <v>45736</v>
      </c>
      <c r="I188" s="2">
        <v>310.24</v>
      </c>
      <c r="J188" t="str">
        <f t="shared" si="2"/>
        <v>Mar</v>
      </c>
    </row>
    <row r="189" spans="1:10" ht="29.5" thickBot="1" x14ac:dyDescent="0.4">
      <c r="A189" s="4" t="s">
        <v>40</v>
      </c>
      <c r="B189" s="1" t="s">
        <v>59</v>
      </c>
      <c r="C189" s="1" t="s">
        <v>20</v>
      </c>
      <c r="D189" s="1" t="s">
        <v>15</v>
      </c>
      <c r="E189" s="2">
        <v>682.24</v>
      </c>
      <c r="F189" s="2">
        <v>1</v>
      </c>
      <c r="G189" s="2">
        <v>0</v>
      </c>
      <c r="H189" s="3">
        <v>45738</v>
      </c>
      <c r="I189" s="2">
        <v>341.12</v>
      </c>
      <c r="J189" t="str">
        <f t="shared" si="2"/>
        <v>Mar</v>
      </c>
    </row>
    <row r="190" spans="1:10" ht="29.5" thickBot="1" x14ac:dyDescent="0.4">
      <c r="A190" s="4" t="s">
        <v>41</v>
      </c>
      <c r="B190" s="1" t="s">
        <v>26</v>
      </c>
      <c r="C190" s="1" t="s">
        <v>24</v>
      </c>
      <c r="D190" s="1" t="s">
        <v>21</v>
      </c>
      <c r="E190" s="2">
        <v>458.54</v>
      </c>
      <c r="F190" s="2">
        <v>15</v>
      </c>
      <c r="G190" s="2">
        <v>0.2</v>
      </c>
      <c r="H190" s="3">
        <v>45741</v>
      </c>
      <c r="I190" s="2">
        <v>91.71</v>
      </c>
      <c r="J190" t="str">
        <f t="shared" si="2"/>
        <v>Mar</v>
      </c>
    </row>
    <row r="191" spans="1:10" ht="29.5" thickBot="1" x14ac:dyDescent="0.4">
      <c r="A191" s="4" t="s">
        <v>32</v>
      </c>
      <c r="B191" s="1" t="s">
        <v>26</v>
      </c>
      <c r="C191" s="1" t="s">
        <v>20</v>
      </c>
      <c r="D191" s="1" t="s">
        <v>27</v>
      </c>
      <c r="E191" s="2">
        <v>1184.25</v>
      </c>
      <c r="F191" s="2">
        <v>11</v>
      </c>
      <c r="G191" s="2">
        <v>0.2</v>
      </c>
      <c r="H191" s="3">
        <v>45742</v>
      </c>
      <c r="I191" s="2">
        <v>331.59</v>
      </c>
      <c r="J191" t="str">
        <f t="shared" si="2"/>
        <v>Mar</v>
      </c>
    </row>
    <row r="192" spans="1:10" ht="29.5" thickBot="1" x14ac:dyDescent="0.4">
      <c r="A192" s="4" t="s">
        <v>25</v>
      </c>
      <c r="B192" s="1" t="s">
        <v>10</v>
      </c>
      <c r="C192" s="1" t="s">
        <v>20</v>
      </c>
      <c r="D192" s="1" t="s">
        <v>15</v>
      </c>
      <c r="E192" s="2">
        <v>762.14</v>
      </c>
      <c r="F192" s="2">
        <v>9</v>
      </c>
      <c r="G192" s="2">
        <v>0</v>
      </c>
      <c r="H192" s="3">
        <v>45743</v>
      </c>
      <c r="I192" s="2">
        <v>381.07</v>
      </c>
      <c r="J192" t="str">
        <f t="shared" si="2"/>
        <v>Mar</v>
      </c>
    </row>
    <row r="193" spans="1:10" ht="29.5" thickBot="1" x14ac:dyDescent="0.4">
      <c r="A193" s="4" t="s">
        <v>22</v>
      </c>
      <c r="B193" s="1" t="s">
        <v>53</v>
      </c>
      <c r="C193" s="1" t="s">
        <v>24</v>
      </c>
      <c r="D193" s="1" t="s">
        <v>12</v>
      </c>
      <c r="E193" s="2">
        <v>750.71</v>
      </c>
      <c r="F193" s="2">
        <v>10</v>
      </c>
      <c r="G193" s="2">
        <v>0.15</v>
      </c>
      <c r="H193" s="3">
        <v>45743</v>
      </c>
      <c r="I193" s="2">
        <v>255.24</v>
      </c>
      <c r="J193" t="str">
        <f t="shared" si="2"/>
        <v>Mar</v>
      </c>
    </row>
    <row r="194" spans="1:10" ht="29.5" thickBot="1" x14ac:dyDescent="0.4">
      <c r="A194" s="4" t="s">
        <v>75</v>
      </c>
      <c r="B194" s="1" t="s">
        <v>71</v>
      </c>
      <c r="C194" s="1" t="s">
        <v>34</v>
      </c>
      <c r="D194" s="1" t="s">
        <v>15</v>
      </c>
      <c r="E194" s="2">
        <v>1456.94</v>
      </c>
      <c r="F194" s="2">
        <v>14</v>
      </c>
      <c r="G194" s="2">
        <v>0.05</v>
      </c>
      <c r="H194" s="3">
        <v>45745</v>
      </c>
      <c r="I194" s="2">
        <v>692.05</v>
      </c>
      <c r="J194" t="str">
        <f t="shared" si="2"/>
        <v>Mar</v>
      </c>
    </row>
    <row r="195" spans="1:10" ht="29.5" thickBot="1" x14ac:dyDescent="0.4">
      <c r="A195" s="4" t="s">
        <v>44</v>
      </c>
      <c r="B195" s="1" t="s">
        <v>61</v>
      </c>
      <c r="C195" s="1" t="s">
        <v>18</v>
      </c>
      <c r="D195" s="1" t="s">
        <v>27</v>
      </c>
      <c r="E195" s="2">
        <v>1093.3800000000001</v>
      </c>
      <c r="F195" s="2">
        <v>17</v>
      </c>
      <c r="G195" s="2">
        <v>0.1</v>
      </c>
      <c r="H195" s="3">
        <v>45745</v>
      </c>
      <c r="I195" s="2">
        <v>344.41</v>
      </c>
      <c r="J195" t="str">
        <f t="shared" ref="J195:J201" si="3">TEXT(H195,"mmm")</f>
        <v>Mar</v>
      </c>
    </row>
    <row r="196" spans="1:10" ht="29.5" thickBot="1" x14ac:dyDescent="0.4">
      <c r="A196" s="4" t="s">
        <v>37</v>
      </c>
      <c r="B196" s="1" t="s">
        <v>43</v>
      </c>
      <c r="C196" s="1" t="s">
        <v>11</v>
      </c>
      <c r="D196" s="1" t="s">
        <v>15</v>
      </c>
      <c r="E196" s="2">
        <v>934.27</v>
      </c>
      <c r="F196" s="2">
        <v>8</v>
      </c>
      <c r="G196" s="2">
        <v>0.15</v>
      </c>
      <c r="H196" s="3">
        <v>45746</v>
      </c>
      <c r="I196" s="2">
        <v>397.06</v>
      </c>
      <c r="J196" t="str">
        <f t="shared" si="3"/>
        <v>Mar</v>
      </c>
    </row>
    <row r="197" spans="1:10" ht="29.5" thickBot="1" x14ac:dyDescent="0.4">
      <c r="A197" s="4" t="s">
        <v>70</v>
      </c>
      <c r="B197" s="1" t="s">
        <v>36</v>
      </c>
      <c r="C197" s="1" t="s">
        <v>34</v>
      </c>
      <c r="D197" s="1" t="s">
        <v>15</v>
      </c>
      <c r="E197" s="2">
        <v>1465.35</v>
      </c>
      <c r="F197" s="2">
        <v>8</v>
      </c>
      <c r="G197" s="2">
        <v>0.2</v>
      </c>
      <c r="H197" s="3">
        <v>45746</v>
      </c>
      <c r="I197" s="2">
        <v>586.14</v>
      </c>
      <c r="J197" t="str">
        <f t="shared" si="3"/>
        <v>Mar</v>
      </c>
    </row>
    <row r="198" spans="1:10" ht="29.5" thickBot="1" x14ac:dyDescent="0.4">
      <c r="A198" s="4" t="s">
        <v>52</v>
      </c>
      <c r="B198" s="1" t="s">
        <v>14</v>
      </c>
      <c r="C198" s="1" t="s">
        <v>20</v>
      </c>
      <c r="D198" s="1" t="s">
        <v>39</v>
      </c>
      <c r="E198" s="2">
        <v>740.8</v>
      </c>
      <c r="F198" s="2">
        <v>3</v>
      </c>
      <c r="G198" s="2">
        <v>0</v>
      </c>
      <c r="H198" s="3">
        <v>45749</v>
      </c>
      <c r="I198" s="2">
        <v>333.36</v>
      </c>
      <c r="J198" t="str">
        <f t="shared" si="3"/>
        <v>Apr</v>
      </c>
    </row>
    <row r="199" spans="1:10" ht="29.5" thickBot="1" x14ac:dyDescent="0.4">
      <c r="A199" s="4" t="s">
        <v>58</v>
      </c>
      <c r="B199" s="1" t="s">
        <v>43</v>
      </c>
      <c r="C199" s="1" t="s">
        <v>11</v>
      </c>
      <c r="D199" s="1" t="s">
        <v>39</v>
      </c>
      <c r="E199" s="2">
        <v>545.44000000000005</v>
      </c>
      <c r="F199" s="2">
        <v>17</v>
      </c>
      <c r="G199" s="2">
        <v>0</v>
      </c>
      <c r="H199" s="3">
        <v>45752</v>
      </c>
      <c r="I199" s="2">
        <v>245.45</v>
      </c>
      <c r="J199" t="str">
        <f t="shared" si="3"/>
        <v>Apr</v>
      </c>
    </row>
    <row r="200" spans="1:10" ht="29.5" thickBot="1" x14ac:dyDescent="0.4">
      <c r="A200" s="4" t="s">
        <v>35</v>
      </c>
      <c r="B200" s="1" t="s">
        <v>36</v>
      </c>
      <c r="C200" s="1" t="s">
        <v>18</v>
      </c>
      <c r="D200" s="1" t="s">
        <v>12</v>
      </c>
      <c r="E200" s="2">
        <v>997.61</v>
      </c>
      <c r="F200" s="2">
        <v>8</v>
      </c>
      <c r="G200" s="2">
        <v>0.05</v>
      </c>
      <c r="H200" s="3">
        <v>45752</v>
      </c>
      <c r="I200" s="2">
        <v>379.09</v>
      </c>
      <c r="J200" t="str">
        <f t="shared" si="3"/>
        <v>Apr</v>
      </c>
    </row>
    <row r="201" spans="1:10" ht="29.5" thickBot="1" x14ac:dyDescent="0.4">
      <c r="A201" s="4" t="s">
        <v>60</v>
      </c>
      <c r="B201" s="1" t="s">
        <v>36</v>
      </c>
      <c r="C201" s="1" t="s">
        <v>20</v>
      </c>
      <c r="D201" s="1" t="s">
        <v>15</v>
      </c>
      <c r="E201" s="2">
        <v>928.32</v>
      </c>
      <c r="F201" s="2">
        <v>2</v>
      </c>
      <c r="G201" s="2">
        <v>0.05</v>
      </c>
      <c r="H201" s="3">
        <v>45754</v>
      </c>
      <c r="I201" s="2">
        <v>440.95</v>
      </c>
      <c r="J201" t="str">
        <f t="shared" si="3"/>
        <v>Apr</v>
      </c>
    </row>
  </sheetData>
  <conditionalFormatting sqref="N3:N14">
    <cfRule type="iconSet" priority="1">
      <iconSet iconSet="3Arrows">
        <cfvo type="percent" val="0"/>
        <cfvo type="percent" val="33"/>
        <cfvo type="percent" val="67"/>
      </iconSet>
    </cfRule>
  </conditionalFormatting>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2E495-1F90-4A47-9EAA-75EE1CFC6724}">
  <dimension ref="A1:D201"/>
  <sheetViews>
    <sheetView workbookViewId="0">
      <selection activeCell="D3" sqref="D3"/>
    </sheetView>
  </sheetViews>
  <sheetFormatPr defaultRowHeight="14.5" x14ac:dyDescent="0.35"/>
  <cols>
    <col min="1" max="1" width="13.81640625" customWidth="1"/>
    <col min="2" max="2" width="15.08984375" bestFit="1" customWidth="1"/>
    <col min="3" max="3" width="12.7265625" customWidth="1"/>
    <col min="4" max="4" width="11.90625" style="17" customWidth="1"/>
  </cols>
  <sheetData>
    <row r="1" spans="1:4" s="28" customFormat="1" ht="15" thickBot="1" x14ac:dyDescent="0.4">
      <c r="A1" s="30" t="s">
        <v>0</v>
      </c>
      <c r="B1" s="27" t="s">
        <v>2</v>
      </c>
      <c r="C1" s="27" t="s">
        <v>7</v>
      </c>
      <c r="D1" s="29" t="s">
        <v>111</v>
      </c>
    </row>
    <row r="2" spans="1:4" ht="15" thickBot="1" x14ac:dyDescent="0.4">
      <c r="A2" s="31" t="s">
        <v>9</v>
      </c>
      <c r="B2" s="26" t="s">
        <v>11</v>
      </c>
      <c r="C2" s="24">
        <v>45392</v>
      </c>
      <c r="D2" s="17" cm="1">
        <f t="array" aca="1" ref="D2" ca="1">_xlfn.IFS($B2="west",NOW(),$B2="east","          -",$B2="south","          -",$B2="central","          -",$B2="north","          -")</f>
        <v>45979.974955902777</v>
      </c>
    </row>
    <row r="3" spans="1:4" ht="15" thickBot="1" x14ac:dyDescent="0.4">
      <c r="A3" s="4" t="s">
        <v>13</v>
      </c>
      <c r="B3" s="1" t="s">
        <v>11</v>
      </c>
      <c r="C3" s="3">
        <v>45393</v>
      </c>
      <c r="D3" s="17" cm="1">
        <f t="array" aca="1" ref="D3" ca="1">_xlfn.IFS($B3="west",NOW(),$B3="east","          -",$B3="south","          -",$B3="central","          -",$B3="north","          -")</f>
        <v>45979.974955902777</v>
      </c>
    </row>
    <row r="4" spans="1:4" ht="15" thickBot="1" x14ac:dyDescent="0.4">
      <c r="A4" s="31" t="s">
        <v>16</v>
      </c>
      <c r="B4" s="26" t="s">
        <v>18</v>
      </c>
      <c r="C4" s="24">
        <v>45396</v>
      </c>
      <c r="D4" s="17" t="str" cm="1">
        <f t="array" aca="1" ref="D4" ca="1">_xlfn.IFS($B4="west",NOW(),$B4="east","          -",$B4="south","          -",$B4="central","          -",$B4="north","          -")</f>
        <v xml:space="preserve">          -</v>
      </c>
    </row>
    <row r="5" spans="1:4" ht="15" thickBot="1" x14ac:dyDescent="0.4">
      <c r="A5" s="4" t="s">
        <v>19</v>
      </c>
      <c r="B5" s="1" t="s">
        <v>20</v>
      </c>
      <c r="C5" s="3">
        <v>45396</v>
      </c>
      <c r="D5" s="17" t="str" cm="1">
        <f t="array" aca="1" ref="D5" ca="1">_xlfn.IFS($B5="west",NOW(),$B5="east","          -",$B5="south","          -",$B5="central","          -",$B5="north","          -")</f>
        <v xml:space="preserve">          -</v>
      </c>
    </row>
    <row r="6" spans="1:4" ht="15" thickBot="1" x14ac:dyDescent="0.4">
      <c r="A6" s="31" t="s">
        <v>22</v>
      </c>
      <c r="B6" s="26" t="s">
        <v>24</v>
      </c>
      <c r="C6" s="24">
        <v>45397</v>
      </c>
      <c r="D6" s="17" t="str" cm="1">
        <f t="array" aca="1" ref="D6" ca="1">_xlfn.IFS($B6="west",NOW(),$B6="east","          -",$B6="south","          -",$B6="central","          -",$B6="north","          -")</f>
        <v xml:space="preserve">          -</v>
      </c>
    </row>
    <row r="7" spans="1:4" ht="15" thickBot="1" x14ac:dyDescent="0.4">
      <c r="A7" s="4" t="s">
        <v>25</v>
      </c>
      <c r="B7" s="1" t="s">
        <v>24</v>
      </c>
      <c r="C7" s="3">
        <v>45398</v>
      </c>
      <c r="D7" s="17" t="str" cm="1">
        <f t="array" aca="1" ref="D7" ca="1">_xlfn.IFS($B7="west",NOW(),$B7="east","          -",$B7="south","          -",$B7="central","          -",$B7="north","          -")</f>
        <v xml:space="preserve">          -</v>
      </c>
    </row>
    <row r="8" spans="1:4" ht="15" thickBot="1" x14ac:dyDescent="0.4">
      <c r="A8" s="31" t="s">
        <v>28</v>
      </c>
      <c r="B8" s="26" t="s">
        <v>11</v>
      </c>
      <c r="C8" s="24">
        <v>45398</v>
      </c>
      <c r="D8" s="17" cm="1">
        <f t="array" aca="1" ref="D8" ca="1">_xlfn.IFS($B8="west",NOW(),$B8="east","          -",$B8="south","          -",$B8="central","          -",$B8="north","          -")</f>
        <v>45979.974955902777</v>
      </c>
    </row>
    <row r="9" spans="1:4" ht="15" thickBot="1" x14ac:dyDescent="0.4">
      <c r="A9" s="4" t="s">
        <v>30</v>
      </c>
      <c r="B9" s="1" t="s">
        <v>18</v>
      </c>
      <c r="C9" s="3">
        <v>45401</v>
      </c>
      <c r="D9" s="17" t="str" cm="1">
        <f t="array" aca="1" ref="D9" ca="1">_xlfn.IFS($B9="west",NOW(),$B9="east","          -",$B9="south","          -",$B9="central","          -",$B9="north","          -")</f>
        <v xml:space="preserve">          -</v>
      </c>
    </row>
    <row r="10" spans="1:4" ht="15" thickBot="1" x14ac:dyDescent="0.4">
      <c r="A10" s="31" t="s">
        <v>32</v>
      </c>
      <c r="B10" s="26" t="s">
        <v>34</v>
      </c>
      <c r="C10" s="24">
        <v>45401</v>
      </c>
      <c r="D10" s="17" t="str" cm="1">
        <f t="array" aca="1" ref="D10" ca="1">_xlfn.IFS($B10="west",NOW(),$B10="east","          -",$B10="south","          -",$B10="central","          -",$B10="north","          -")</f>
        <v xml:space="preserve">          -</v>
      </c>
    </row>
    <row r="11" spans="1:4" ht="15" thickBot="1" x14ac:dyDescent="0.4">
      <c r="A11" s="4" t="s">
        <v>35</v>
      </c>
      <c r="B11" s="1" t="s">
        <v>34</v>
      </c>
      <c r="C11" s="3">
        <v>45401</v>
      </c>
      <c r="D11" s="17" t="str" cm="1">
        <f t="array" aca="1" ref="D11" ca="1">_xlfn.IFS($B11="west",NOW(),$B11="east","          -",$B11="south","          -",$B11="central","          -",$B11="north","          -")</f>
        <v xml:space="preserve">          -</v>
      </c>
    </row>
    <row r="12" spans="1:4" ht="15" thickBot="1" x14ac:dyDescent="0.4">
      <c r="A12" s="31" t="s">
        <v>37</v>
      </c>
      <c r="B12" s="26" t="s">
        <v>11</v>
      </c>
      <c r="C12" s="24">
        <v>45402</v>
      </c>
      <c r="D12" s="17" cm="1">
        <f t="array" aca="1" ref="D12" ca="1">_xlfn.IFS($B12="west",NOW(),$B12="east","          -",$B12="south","          -",$B12="central","          -",$B12="north","          -")</f>
        <v>45979.974955902777</v>
      </c>
    </row>
    <row r="13" spans="1:4" ht="15" thickBot="1" x14ac:dyDescent="0.4">
      <c r="A13" s="4" t="s">
        <v>37</v>
      </c>
      <c r="B13" s="1" t="s">
        <v>34</v>
      </c>
      <c r="C13" s="3">
        <v>45404</v>
      </c>
      <c r="D13" s="17" t="str" cm="1">
        <f t="array" aca="1" ref="D13" ca="1">_xlfn.IFS($B13="west",NOW(),$B13="east","          -",$B13="south","          -",$B13="central","          -",$B13="north","          -")</f>
        <v xml:space="preserve">          -</v>
      </c>
    </row>
    <row r="14" spans="1:4" ht="15" thickBot="1" x14ac:dyDescent="0.4">
      <c r="A14" s="31" t="s">
        <v>25</v>
      </c>
      <c r="B14" s="26" t="s">
        <v>34</v>
      </c>
      <c r="C14" s="24">
        <v>45406</v>
      </c>
      <c r="D14" s="17" t="str" cm="1">
        <f t="array" aca="1" ref="D14" ca="1">_xlfn.IFS($B14="west",NOW(),$B14="east","          -",$B14="south","          -",$B14="central","          -",$B14="north","          -")</f>
        <v xml:space="preserve">          -</v>
      </c>
    </row>
    <row r="15" spans="1:4" ht="15" thickBot="1" x14ac:dyDescent="0.4">
      <c r="A15" s="4" t="s">
        <v>40</v>
      </c>
      <c r="B15" s="1" t="s">
        <v>11</v>
      </c>
      <c r="C15" s="3">
        <v>45406</v>
      </c>
      <c r="D15" s="17" cm="1">
        <f t="array" aca="1" ref="D15" ca="1">_xlfn.IFS($B15="west",NOW(),$B15="east","          -",$B15="south","          -",$B15="central","          -",$B15="north","          -")</f>
        <v>45979.974955902777</v>
      </c>
    </row>
    <row r="16" spans="1:4" ht="15" thickBot="1" x14ac:dyDescent="0.4">
      <c r="A16" s="31" t="s">
        <v>41</v>
      </c>
      <c r="B16" s="26" t="s">
        <v>24</v>
      </c>
      <c r="C16" s="24">
        <v>45409</v>
      </c>
      <c r="D16" s="17" t="str" cm="1">
        <f t="array" aca="1" ref="D16" ca="1">_xlfn.IFS($B16="west",NOW(),$B16="east","          -",$B16="south","          -",$B16="central","          -",$B16="north","          -")</f>
        <v xml:space="preserve">          -</v>
      </c>
    </row>
    <row r="17" spans="1:4" ht="15" thickBot="1" x14ac:dyDescent="0.4">
      <c r="A17" s="4" t="s">
        <v>19</v>
      </c>
      <c r="B17" s="1" t="s">
        <v>20</v>
      </c>
      <c r="C17" s="3">
        <v>45410</v>
      </c>
      <c r="D17" s="17" t="str" cm="1">
        <f t="array" aca="1" ref="D17" ca="1">_xlfn.IFS($B17="west",NOW(),$B17="east","          -",$B17="south","          -",$B17="central","          -",$B17="north","          -")</f>
        <v xml:space="preserve">          -</v>
      </c>
    </row>
    <row r="18" spans="1:4" ht="15" thickBot="1" x14ac:dyDescent="0.4">
      <c r="A18" s="31" t="s">
        <v>44</v>
      </c>
      <c r="B18" s="26" t="s">
        <v>20</v>
      </c>
      <c r="C18" s="24">
        <v>45411</v>
      </c>
      <c r="D18" s="17" t="str" cm="1">
        <f t="array" aca="1" ref="D18" ca="1">_xlfn.IFS($B18="west",NOW(),$B18="east","          -",$B18="south","          -",$B18="central","          -",$B18="north","          -")</f>
        <v xml:space="preserve">          -</v>
      </c>
    </row>
    <row r="19" spans="1:4" ht="15" thickBot="1" x14ac:dyDescent="0.4">
      <c r="A19" s="4" t="s">
        <v>28</v>
      </c>
      <c r="B19" s="1" t="s">
        <v>11</v>
      </c>
      <c r="C19" s="3">
        <v>45411</v>
      </c>
      <c r="D19" s="17" cm="1">
        <f t="array" aca="1" ref="D19" ca="1">_xlfn.IFS($B19="west",NOW(),$B19="east","          -",$B19="south","          -",$B19="central","          -",$B19="north","          -")</f>
        <v>45979.974955902777</v>
      </c>
    </row>
    <row r="20" spans="1:4" ht="15" thickBot="1" x14ac:dyDescent="0.4">
      <c r="A20" s="31" t="s">
        <v>46</v>
      </c>
      <c r="B20" s="26" t="s">
        <v>11</v>
      </c>
      <c r="C20" s="24">
        <v>45412</v>
      </c>
      <c r="D20" s="17" cm="1">
        <f t="array" aca="1" ref="D20" ca="1">_xlfn.IFS($B20="west",NOW(),$B20="east","          -",$B20="south","          -",$B20="central","          -",$B20="north","          -")</f>
        <v>45979.974955902777</v>
      </c>
    </row>
    <row r="21" spans="1:4" ht="15" thickBot="1" x14ac:dyDescent="0.4">
      <c r="A21" s="4" t="s">
        <v>30</v>
      </c>
      <c r="B21" s="1" t="s">
        <v>34</v>
      </c>
      <c r="C21" s="3">
        <v>45414</v>
      </c>
      <c r="D21" s="17" t="str" cm="1">
        <f t="array" aca="1" ref="D21" ca="1">_xlfn.IFS($B21="west",NOW(),$B21="east","          -",$B21="south","          -",$B21="central","          -",$B21="north","          -")</f>
        <v xml:space="preserve">          -</v>
      </c>
    </row>
    <row r="22" spans="1:4" ht="15" thickBot="1" x14ac:dyDescent="0.4">
      <c r="A22" s="31" t="s">
        <v>25</v>
      </c>
      <c r="B22" s="26" t="s">
        <v>20</v>
      </c>
      <c r="C22" s="24">
        <v>45415</v>
      </c>
      <c r="D22" s="17" t="str" cm="1">
        <f t="array" aca="1" ref="D22" ca="1">_xlfn.IFS($B22="west",NOW(),$B22="east","          -",$B22="south","          -",$B22="central","          -",$B22="north","          -")</f>
        <v xml:space="preserve">          -</v>
      </c>
    </row>
    <row r="23" spans="1:4" ht="15" thickBot="1" x14ac:dyDescent="0.4">
      <c r="A23" s="4" t="s">
        <v>49</v>
      </c>
      <c r="B23" s="1" t="s">
        <v>24</v>
      </c>
      <c r="C23" s="3">
        <v>45416</v>
      </c>
      <c r="D23" s="17" t="str" cm="1">
        <f t="array" aca="1" ref="D23" ca="1">_xlfn.IFS($B23="west",NOW(),$B23="east","          -",$B23="south","          -",$B23="central","          -",$B23="north","          -")</f>
        <v xml:space="preserve">          -</v>
      </c>
    </row>
    <row r="24" spans="1:4" ht="15" thickBot="1" x14ac:dyDescent="0.4">
      <c r="A24" s="31" t="s">
        <v>9</v>
      </c>
      <c r="B24" s="26" t="s">
        <v>11</v>
      </c>
      <c r="C24" s="24">
        <v>45416</v>
      </c>
      <c r="D24" s="17" cm="1">
        <f t="array" aca="1" ref="D24" ca="1">_xlfn.IFS($B24="west",NOW(),$B24="east","          -",$B24="south","          -",$B24="central","          -",$B24="north","          -")</f>
        <v>45979.974955902777</v>
      </c>
    </row>
    <row r="25" spans="1:4" ht="15" thickBot="1" x14ac:dyDescent="0.4">
      <c r="A25" s="4" t="s">
        <v>40</v>
      </c>
      <c r="B25" s="1" t="s">
        <v>34</v>
      </c>
      <c r="C25" s="3">
        <v>45416</v>
      </c>
      <c r="D25" s="17" t="str" cm="1">
        <f t="array" aca="1" ref="D25" ca="1">_xlfn.IFS($B25="west",NOW(),$B25="east","          -",$B25="south","          -",$B25="central","          -",$B25="north","          -")</f>
        <v xml:space="preserve">          -</v>
      </c>
    </row>
    <row r="26" spans="1:4" ht="15" thickBot="1" x14ac:dyDescent="0.4">
      <c r="A26" s="31" t="s">
        <v>13</v>
      </c>
      <c r="B26" s="26" t="s">
        <v>34</v>
      </c>
      <c r="C26" s="24">
        <v>45418</v>
      </c>
      <c r="D26" s="17" t="str" cm="1">
        <f t="array" aca="1" ref="D26" ca="1">_xlfn.IFS($B26="west",NOW(),$B26="east","          -",$B26="south","          -",$B26="central","          -",$B26="north","          -")</f>
        <v xml:space="preserve">          -</v>
      </c>
    </row>
    <row r="27" spans="1:4" ht="15" thickBot="1" x14ac:dyDescent="0.4">
      <c r="A27" s="4" t="s">
        <v>35</v>
      </c>
      <c r="B27" s="1" t="s">
        <v>20</v>
      </c>
      <c r="C27" s="3">
        <v>45418</v>
      </c>
      <c r="D27" s="17" t="str" cm="1">
        <f t="array" aca="1" ref="D27" ca="1">_xlfn.IFS($B27="west",NOW(),$B27="east","          -",$B27="south","          -",$B27="central","          -",$B27="north","          -")</f>
        <v xml:space="preserve">          -</v>
      </c>
    </row>
    <row r="28" spans="1:4" ht="15" thickBot="1" x14ac:dyDescent="0.4">
      <c r="A28" s="31" t="s">
        <v>22</v>
      </c>
      <c r="B28" s="26" t="s">
        <v>24</v>
      </c>
      <c r="C28" s="24">
        <v>45420</v>
      </c>
      <c r="D28" s="17" t="str" cm="1">
        <f t="array" aca="1" ref="D28" ca="1">_xlfn.IFS($B28="west",NOW(),$B28="east","          -",$B28="south","          -",$B28="central","          -",$B28="north","          -")</f>
        <v xml:space="preserve">          -</v>
      </c>
    </row>
    <row r="29" spans="1:4" ht="15" thickBot="1" x14ac:dyDescent="0.4">
      <c r="A29" s="4" t="s">
        <v>25</v>
      </c>
      <c r="B29" s="1" t="s">
        <v>34</v>
      </c>
      <c r="C29" s="3">
        <v>45422</v>
      </c>
      <c r="D29" s="17" t="str" cm="1">
        <f t="array" aca="1" ref="D29" ca="1">_xlfn.IFS($B29="west",NOW(),$B29="east","          -",$B29="south","          -",$B29="central","          -",$B29="north","          -")</f>
        <v xml:space="preserve">          -</v>
      </c>
    </row>
    <row r="30" spans="1:4" ht="15" thickBot="1" x14ac:dyDescent="0.4">
      <c r="A30" s="31" t="s">
        <v>52</v>
      </c>
      <c r="B30" s="26" t="s">
        <v>18</v>
      </c>
      <c r="C30" s="24">
        <v>45426</v>
      </c>
      <c r="D30" s="17" t="str" cm="1">
        <f t="array" aca="1" ref="D30" ca="1">_xlfn.IFS($B30="west",NOW(),$B30="east","          -",$B30="south","          -",$B30="central","          -",$B30="north","          -")</f>
        <v xml:space="preserve">          -</v>
      </c>
    </row>
    <row r="31" spans="1:4" ht="15" thickBot="1" x14ac:dyDescent="0.4">
      <c r="A31" s="4" t="s">
        <v>52</v>
      </c>
      <c r="B31" s="1" t="s">
        <v>20</v>
      </c>
      <c r="C31" s="3">
        <v>45426</v>
      </c>
      <c r="D31" s="17" t="str" cm="1">
        <f t="array" aca="1" ref="D31" ca="1">_xlfn.IFS($B31="west",NOW(),$B31="east","          -",$B31="south","          -",$B31="central","          -",$B31="north","          -")</f>
        <v xml:space="preserve">          -</v>
      </c>
    </row>
    <row r="32" spans="1:4" ht="15" thickBot="1" x14ac:dyDescent="0.4">
      <c r="A32" s="31" t="s">
        <v>54</v>
      </c>
      <c r="B32" s="26" t="s">
        <v>24</v>
      </c>
      <c r="C32" s="24">
        <v>45427</v>
      </c>
      <c r="D32" s="17" t="str" cm="1">
        <f t="array" aca="1" ref="D32" ca="1">_xlfn.IFS($B32="west",NOW(),$B32="east","          -",$B32="south","          -",$B32="central","          -",$B32="north","          -")</f>
        <v xml:space="preserve">          -</v>
      </c>
    </row>
    <row r="33" spans="1:4" ht="15" thickBot="1" x14ac:dyDescent="0.4">
      <c r="A33" s="4" t="s">
        <v>49</v>
      </c>
      <c r="B33" s="1" t="s">
        <v>34</v>
      </c>
      <c r="C33" s="3">
        <v>45428</v>
      </c>
      <c r="D33" s="17" t="str" cm="1">
        <f t="array" aca="1" ref="D33" ca="1">_xlfn.IFS($B33="west",NOW(),$B33="east","          -",$B33="south","          -",$B33="central","          -",$B33="north","          -")</f>
        <v xml:space="preserve">          -</v>
      </c>
    </row>
    <row r="34" spans="1:4" ht="15" thickBot="1" x14ac:dyDescent="0.4">
      <c r="A34" s="31" t="s">
        <v>28</v>
      </c>
      <c r="B34" s="26" t="s">
        <v>11</v>
      </c>
      <c r="C34" s="24">
        <v>45428</v>
      </c>
      <c r="D34" s="17" cm="1">
        <f t="array" aca="1" ref="D34" ca="1">_xlfn.IFS($B34="west",NOW(),$B34="east","          -",$B34="south","          -",$B34="central","          -",$B34="north","          -")</f>
        <v>45979.974955902777</v>
      </c>
    </row>
    <row r="35" spans="1:4" ht="15" thickBot="1" x14ac:dyDescent="0.4">
      <c r="A35" s="4" t="s">
        <v>57</v>
      </c>
      <c r="B35" s="1" t="s">
        <v>20</v>
      </c>
      <c r="C35" s="3">
        <v>45429</v>
      </c>
      <c r="D35" s="17" t="str" cm="1">
        <f t="array" aca="1" ref="D35" ca="1">_xlfn.IFS($B35="west",NOW(),$B35="east","          -",$B35="south","          -",$B35="central","          -",$B35="north","          -")</f>
        <v xml:space="preserve">          -</v>
      </c>
    </row>
    <row r="36" spans="1:4" ht="15" thickBot="1" x14ac:dyDescent="0.4">
      <c r="A36" s="31" t="s">
        <v>58</v>
      </c>
      <c r="B36" s="26" t="s">
        <v>24</v>
      </c>
      <c r="C36" s="24">
        <v>45429</v>
      </c>
      <c r="D36" s="17" t="str" cm="1">
        <f t="array" aca="1" ref="D36" ca="1">_xlfn.IFS($B36="west",NOW(),$B36="east","          -",$B36="south","          -",$B36="central","          -",$B36="north","          -")</f>
        <v xml:space="preserve">          -</v>
      </c>
    </row>
    <row r="37" spans="1:4" ht="15" thickBot="1" x14ac:dyDescent="0.4">
      <c r="A37" s="4" t="s">
        <v>13</v>
      </c>
      <c r="B37" s="1" t="s">
        <v>11</v>
      </c>
      <c r="C37" s="3">
        <v>45429</v>
      </c>
      <c r="D37" s="17" cm="1">
        <f t="array" aca="1" ref="D37" ca="1">_xlfn.IFS($B37="west",NOW(),$B37="east","          -",$B37="south","          -",$B37="central","          -",$B37="north","          -")</f>
        <v>45979.974955902777</v>
      </c>
    </row>
    <row r="38" spans="1:4" ht="15" thickBot="1" x14ac:dyDescent="0.4">
      <c r="A38" s="31" t="s">
        <v>9</v>
      </c>
      <c r="B38" s="26" t="s">
        <v>18</v>
      </c>
      <c r="C38" s="24">
        <v>45429</v>
      </c>
      <c r="D38" s="17" t="str" cm="1">
        <f t="array" aca="1" ref="D38" ca="1">_xlfn.IFS($B38="west",NOW(),$B38="east","          -",$B38="south","          -",$B38="central","          -",$B38="north","          -")</f>
        <v xml:space="preserve">          -</v>
      </c>
    </row>
    <row r="39" spans="1:4" ht="15" thickBot="1" x14ac:dyDescent="0.4">
      <c r="A39" s="4" t="s">
        <v>52</v>
      </c>
      <c r="B39" s="1" t="s">
        <v>34</v>
      </c>
      <c r="C39" s="3">
        <v>45434</v>
      </c>
      <c r="D39" s="17" t="str" cm="1">
        <f t="array" aca="1" ref="D39" ca="1">_xlfn.IFS($B39="west",NOW(),$B39="east","          -",$B39="south","          -",$B39="central","          -",$B39="north","          -")</f>
        <v xml:space="preserve">          -</v>
      </c>
    </row>
    <row r="40" spans="1:4" ht="15" thickBot="1" x14ac:dyDescent="0.4">
      <c r="A40" s="31" t="s">
        <v>44</v>
      </c>
      <c r="B40" s="26" t="s">
        <v>34</v>
      </c>
      <c r="C40" s="24">
        <v>45434</v>
      </c>
      <c r="D40" s="17" t="str" cm="1">
        <f t="array" aca="1" ref="D40" ca="1">_xlfn.IFS($B40="west",NOW(),$B40="east","          -",$B40="south","          -",$B40="central","          -",$B40="north","          -")</f>
        <v xml:space="preserve">          -</v>
      </c>
    </row>
    <row r="41" spans="1:4" ht="15" thickBot="1" x14ac:dyDescent="0.4">
      <c r="A41" s="4" t="s">
        <v>60</v>
      </c>
      <c r="B41" s="1" t="s">
        <v>18</v>
      </c>
      <c r="C41" s="3">
        <v>45435</v>
      </c>
      <c r="D41" s="17" t="str" cm="1">
        <f t="array" aca="1" ref="D41" ca="1">_xlfn.IFS($B41="west",NOW(),$B41="east","          -",$B41="south","          -",$B41="central","          -",$B41="north","          -")</f>
        <v xml:space="preserve">          -</v>
      </c>
    </row>
    <row r="42" spans="1:4" ht="15" thickBot="1" x14ac:dyDescent="0.4">
      <c r="A42" s="31" t="s">
        <v>19</v>
      </c>
      <c r="B42" s="26" t="s">
        <v>20</v>
      </c>
      <c r="C42" s="24">
        <v>45445</v>
      </c>
      <c r="D42" s="17" t="str" cm="1">
        <f t="array" aca="1" ref="D42" ca="1">_xlfn.IFS($B42="west",NOW(),$B42="east","          -",$B42="south","          -",$B42="central","          -",$B42="north","          -")</f>
        <v xml:space="preserve">          -</v>
      </c>
    </row>
    <row r="43" spans="1:4" ht="15" thickBot="1" x14ac:dyDescent="0.4">
      <c r="A43" s="4" t="s">
        <v>52</v>
      </c>
      <c r="B43" s="1" t="s">
        <v>34</v>
      </c>
      <c r="C43" s="3">
        <v>45447</v>
      </c>
      <c r="D43" s="17" t="str" cm="1">
        <f t="array" aca="1" ref="D43" ca="1">_xlfn.IFS($B43="west",NOW(),$B43="east","          -",$B43="south","          -",$B43="central","          -",$B43="north","          -")</f>
        <v xml:space="preserve">          -</v>
      </c>
    </row>
    <row r="44" spans="1:4" ht="15" thickBot="1" x14ac:dyDescent="0.4">
      <c r="A44" s="31" t="s">
        <v>40</v>
      </c>
      <c r="B44" s="26" t="s">
        <v>18</v>
      </c>
      <c r="C44" s="24">
        <v>45447</v>
      </c>
      <c r="D44" s="17" t="str" cm="1">
        <f t="array" aca="1" ref="D44" ca="1">_xlfn.IFS($B44="west",NOW(),$B44="east","          -",$B44="south","          -",$B44="central","          -",$B44="north","          -")</f>
        <v xml:space="preserve">          -</v>
      </c>
    </row>
    <row r="45" spans="1:4" ht="15" thickBot="1" x14ac:dyDescent="0.4">
      <c r="A45" s="4" t="s">
        <v>57</v>
      </c>
      <c r="B45" s="1" t="s">
        <v>34</v>
      </c>
      <c r="C45" s="3">
        <v>45448</v>
      </c>
      <c r="D45" s="17" t="str" cm="1">
        <f t="array" aca="1" ref="D45" ca="1">_xlfn.IFS($B45="west",NOW(),$B45="east","          -",$B45="south","          -",$B45="central","          -",$B45="north","          -")</f>
        <v xml:space="preserve">          -</v>
      </c>
    </row>
    <row r="46" spans="1:4" ht="15" thickBot="1" x14ac:dyDescent="0.4">
      <c r="A46" s="31" t="s">
        <v>30</v>
      </c>
      <c r="B46" s="26" t="s">
        <v>24</v>
      </c>
      <c r="C46" s="24">
        <v>45448</v>
      </c>
      <c r="D46" s="17" t="str" cm="1">
        <f t="array" aca="1" ref="D46" ca="1">_xlfn.IFS($B46="west",NOW(),$B46="east","          -",$B46="south","          -",$B46="central","          -",$B46="north","          -")</f>
        <v xml:space="preserve">          -</v>
      </c>
    </row>
    <row r="47" spans="1:4" ht="15" thickBot="1" x14ac:dyDescent="0.4">
      <c r="A47" s="4" t="s">
        <v>16</v>
      </c>
      <c r="B47" s="1" t="s">
        <v>34</v>
      </c>
      <c r="C47" s="3">
        <v>45449</v>
      </c>
      <c r="D47" s="17" t="str" cm="1">
        <f t="array" aca="1" ref="D47" ca="1">_xlfn.IFS($B47="west",NOW(),$B47="east","          -",$B47="south","          -",$B47="central","          -",$B47="north","          -")</f>
        <v xml:space="preserve">          -</v>
      </c>
    </row>
    <row r="48" spans="1:4" ht="15" thickBot="1" x14ac:dyDescent="0.4">
      <c r="A48" s="31" t="s">
        <v>54</v>
      </c>
      <c r="B48" s="26" t="s">
        <v>34</v>
      </c>
      <c r="C48" s="24">
        <v>45449</v>
      </c>
      <c r="D48" s="17" t="str" cm="1">
        <f t="array" aca="1" ref="D48" ca="1">_xlfn.IFS($B48="west",NOW(),$B48="east","          -",$B48="south","          -",$B48="central","          -",$B48="north","          -")</f>
        <v xml:space="preserve">          -</v>
      </c>
    </row>
    <row r="49" spans="1:4" ht="15" thickBot="1" x14ac:dyDescent="0.4">
      <c r="A49" s="4" t="s">
        <v>63</v>
      </c>
      <c r="B49" s="1" t="s">
        <v>24</v>
      </c>
      <c r="C49" s="3">
        <v>45450</v>
      </c>
      <c r="D49" s="17" t="str" cm="1">
        <f t="array" aca="1" ref="D49" ca="1">_xlfn.IFS($B49="west",NOW(),$B49="east","          -",$B49="south","          -",$B49="central","          -",$B49="north","          -")</f>
        <v xml:space="preserve">          -</v>
      </c>
    </row>
    <row r="50" spans="1:4" ht="15" thickBot="1" x14ac:dyDescent="0.4">
      <c r="A50" s="31" t="s">
        <v>57</v>
      </c>
      <c r="B50" s="26" t="s">
        <v>18</v>
      </c>
      <c r="C50" s="24">
        <v>45451</v>
      </c>
      <c r="D50" s="17" t="str" cm="1">
        <f t="array" aca="1" ref="D50" ca="1">_xlfn.IFS($B50="west",NOW(),$B50="east","          -",$B50="south","          -",$B50="central","          -",$B50="north","          -")</f>
        <v xml:space="preserve">          -</v>
      </c>
    </row>
    <row r="51" spans="1:4" ht="15" thickBot="1" x14ac:dyDescent="0.4">
      <c r="A51" s="4" t="s">
        <v>44</v>
      </c>
      <c r="B51" s="1" t="s">
        <v>20</v>
      </c>
      <c r="C51" s="3">
        <v>45457</v>
      </c>
      <c r="D51" s="17" t="str" cm="1">
        <f t="array" aca="1" ref="D51" ca="1">_xlfn.IFS($B51="west",NOW(),$B51="east","          -",$B51="south","          -",$B51="central","          -",$B51="north","          -")</f>
        <v xml:space="preserve">          -</v>
      </c>
    </row>
    <row r="52" spans="1:4" ht="15" thickBot="1" x14ac:dyDescent="0.4">
      <c r="A52" s="31" t="s">
        <v>25</v>
      </c>
      <c r="B52" s="26" t="s">
        <v>20</v>
      </c>
      <c r="C52" s="24">
        <v>45461</v>
      </c>
      <c r="D52" s="17" t="str" cm="1">
        <f t="array" aca="1" ref="D52" ca="1">_xlfn.IFS($B52="west",NOW(),$B52="east","          -",$B52="south","          -",$B52="central","          -",$B52="north","          -")</f>
        <v xml:space="preserve">          -</v>
      </c>
    </row>
    <row r="53" spans="1:4" ht="15" thickBot="1" x14ac:dyDescent="0.4">
      <c r="A53" s="4" t="s">
        <v>58</v>
      </c>
      <c r="B53" s="1" t="s">
        <v>20</v>
      </c>
      <c r="C53" s="3">
        <v>45463</v>
      </c>
      <c r="D53" s="17" t="str" cm="1">
        <f t="array" aca="1" ref="D53" ca="1">_xlfn.IFS($B53="west",NOW(),$B53="east","          -",$B53="south","          -",$B53="central","          -",$B53="north","          -")</f>
        <v xml:space="preserve">          -</v>
      </c>
    </row>
    <row r="54" spans="1:4" ht="15" thickBot="1" x14ac:dyDescent="0.4">
      <c r="A54" s="31" t="s">
        <v>22</v>
      </c>
      <c r="B54" s="26" t="s">
        <v>20</v>
      </c>
      <c r="C54" s="24">
        <v>45464</v>
      </c>
      <c r="D54" s="17" t="str" cm="1">
        <f t="array" aca="1" ref="D54" ca="1">_xlfn.IFS($B54="west",NOW(),$B54="east","          -",$B54="south","          -",$B54="central","          -",$B54="north","          -")</f>
        <v xml:space="preserve">          -</v>
      </c>
    </row>
    <row r="55" spans="1:4" ht="15" thickBot="1" x14ac:dyDescent="0.4">
      <c r="A55" s="4" t="s">
        <v>65</v>
      </c>
      <c r="B55" s="1" t="s">
        <v>11</v>
      </c>
      <c r="C55" s="3">
        <v>45466</v>
      </c>
      <c r="D55" s="17" cm="1">
        <f t="array" aca="1" ref="D55" ca="1">_xlfn.IFS($B55="west",NOW(),$B55="east","          -",$B55="south","          -",$B55="central","          -",$B55="north","          -")</f>
        <v>45979.974955902777</v>
      </c>
    </row>
    <row r="56" spans="1:4" ht="15" thickBot="1" x14ac:dyDescent="0.4">
      <c r="A56" s="31" t="s">
        <v>32</v>
      </c>
      <c r="B56" s="26" t="s">
        <v>24</v>
      </c>
      <c r="C56" s="24">
        <v>45468</v>
      </c>
      <c r="D56" s="17" t="str" cm="1">
        <f t="array" aca="1" ref="D56" ca="1">_xlfn.IFS($B56="west",NOW(),$B56="east","          -",$B56="south","          -",$B56="central","          -",$B56="north","          -")</f>
        <v xml:space="preserve">          -</v>
      </c>
    </row>
    <row r="57" spans="1:4" ht="15" thickBot="1" x14ac:dyDescent="0.4">
      <c r="A57" s="4" t="s">
        <v>19</v>
      </c>
      <c r="B57" s="1" t="s">
        <v>20</v>
      </c>
      <c r="C57" s="3">
        <v>45468</v>
      </c>
      <c r="D57" s="17" t="str" cm="1">
        <f t="array" aca="1" ref="D57" ca="1">_xlfn.IFS($B57="west",NOW(),$B57="east","          -",$B57="south","          -",$B57="central","          -",$B57="north","          -")</f>
        <v xml:space="preserve">          -</v>
      </c>
    </row>
    <row r="58" spans="1:4" ht="15" thickBot="1" x14ac:dyDescent="0.4">
      <c r="A58" s="31" t="s">
        <v>22</v>
      </c>
      <c r="B58" s="26" t="s">
        <v>34</v>
      </c>
      <c r="C58" s="24">
        <v>45470</v>
      </c>
      <c r="D58" s="17" t="str" cm="1">
        <f t="array" aca="1" ref="D58" ca="1">_xlfn.IFS($B58="west",NOW(),$B58="east","          -",$B58="south","          -",$B58="central","          -",$B58="north","          -")</f>
        <v xml:space="preserve">          -</v>
      </c>
    </row>
    <row r="59" spans="1:4" ht="15" thickBot="1" x14ac:dyDescent="0.4">
      <c r="A59" s="4" t="s">
        <v>41</v>
      </c>
      <c r="B59" s="1" t="s">
        <v>24</v>
      </c>
      <c r="C59" s="3">
        <v>45471</v>
      </c>
      <c r="D59" s="17" t="str" cm="1">
        <f t="array" aca="1" ref="D59" ca="1">_xlfn.IFS($B59="west",NOW(),$B59="east","          -",$B59="south","          -",$B59="central","          -",$B59="north","          -")</f>
        <v xml:space="preserve">          -</v>
      </c>
    </row>
    <row r="60" spans="1:4" ht="15" thickBot="1" x14ac:dyDescent="0.4">
      <c r="A60" s="31" t="s">
        <v>67</v>
      </c>
      <c r="B60" s="26" t="s">
        <v>24</v>
      </c>
      <c r="C60" s="24">
        <v>45473</v>
      </c>
      <c r="D60" s="17" t="str" cm="1">
        <f t="array" aca="1" ref="D60" ca="1">_xlfn.IFS($B60="west",NOW(),$B60="east","          -",$B60="south","          -",$B60="central","          -",$B60="north","          -")</f>
        <v xml:space="preserve">          -</v>
      </c>
    </row>
    <row r="61" spans="1:4" ht="15" thickBot="1" x14ac:dyDescent="0.4">
      <c r="A61" s="4" t="s">
        <v>13</v>
      </c>
      <c r="B61" s="1" t="s">
        <v>11</v>
      </c>
      <c r="C61" s="3">
        <v>45473</v>
      </c>
      <c r="D61" s="17" cm="1">
        <f t="array" aca="1" ref="D61" ca="1">_xlfn.IFS($B61="west",NOW(),$B61="east","          -",$B61="south","          -",$B61="central","          -",$B61="north","          -")</f>
        <v>45979.974955902777</v>
      </c>
    </row>
    <row r="62" spans="1:4" ht="15" thickBot="1" x14ac:dyDescent="0.4">
      <c r="A62" s="31" t="s">
        <v>57</v>
      </c>
      <c r="B62" s="26" t="s">
        <v>18</v>
      </c>
      <c r="C62" s="24">
        <v>45478</v>
      </c>
      <c r="D62" s="17" t="str" cm="1">
        <f t="array" aca="1" ref="D62" ca="1">_xlfn.IFS($B62="west",NOW(),$B62="east","          -",$B62="south","          -",$B62="central","          -",$B62="north","          -")</f>
        <v xml:space="preserve">          -</v>
      </c>
    </row>
    <row r="63" spans="1:4" ht="15" thickBot="1" x14ac:dyDescent="0.4">
      <c r="A63" s="4" t="s">
        <v>35</v>
      </c>
      <c r="B63" s="1" t="s">
        <v>34</v>
      </c>
      <c r="C63" s="3">
        <v>45479</v>
      </c>
      <c r="D63" s="17" t="str" cm="1">
        <f t="array" aca="1" ref="D63" ca="1">_xlfn.IFS($B63="west",NOW(),$B63="east","          -",$B63="south","          -",$B63="central","          -",$B63="north","          -")</f>
        <v xml:space="preserve">          -</v>
      </c>
    </row>
    <row r="64" spans="1:4" ht="15" thickBot="1" x14ac:dyDescent="0.4">
      <c r="A64" s="31" t="s">
        <v>30</v>
      </c>
      <c r="B64" s="26" t="s">
        <v>18</v>
      </c>
      <c r="C64" s="24">
        <v>45481</v>
      </c>
      <c r="D64" s="17" t="str" cm="1">
        <f t="array" aca="1" ref="D64" ca="1">_xlfn.IFS($B64="west",NOW(),$B64="east","          -",$B64="south","          -",$B64="central","          -",$B64="north","          -")</f>
        <v xml:space="preserve">          -</v>
      </c>
    </row>
    <row r="65" spans="1:4" ht="15" thickBot="1" x14ac:dyDescent="0.4">
      <c r="A65" s="4" t="s">
        <v>67</v>
      </c>
      <c r="B65" s="1" t="s">
        <v>11</v>
      </c>
      <c r="C65" s="3">
        <v>45481</v>
      </c>
      <c r="D65" s="17" cm="1">
        <f t="array" aca="1" ref="D65" ca="1">_xlfn.IFS($B65="west",NOW(),$B65="east","          -",$B65="south","          -",$B65="central","          -",$B65="north","          -")</f>
        <v>45979.974955902777</v>
      </c>
    </row>
    <row r="66" spans="1:4" ht="15" thickBot="1" x14ac:dyDescent="0.4">
      <c r="A66" s="31" t="s">
        <v>41</v>
      </c>
      <c r="B66" s="26" t="s">
        <v>20</v>
      </c>
      <c r="C66" s="24">
        <v>45482</v>
      </c>
      <c r="D66" s="17" t="str" cm="1">
        <f t="array" aca="1" ref="D66" ca="1">_xlfn.IFS($B66="west",NOW(),$B66="east","          -",$B66="south","          -",$B66="central","          -",$B66="north","          -")</f>
        <v xml:space="preserve">          -</v>
      </c>
    </row>
    <row r="67" spans="1:4" ht="15" thickBot="1" x14ac:dyDescent="0.4">
      <c r="A67" s="4" t="s">
        <v>67</v>
      </c>
      <c r="B67" s="1" t="s">
        <v>24</v>
      </c>
      <c r="C67" s="3">
        <v>45487</v>
      </c>
      <c r="D67" s="17" t="str" cm="1">
        <f t="array" aca="1" ref="D67" ca="1">_xlfn.IFS($B67="west",NOW(),$B67="east","          -",$B67="south","          -",$B67="central","          -",$B67="north","          -")</f>
        <v xml:space="preserve">          -</v>
      </c>
    </row>
    <row r="68" spans="1:4" ht="15" thickBot="1" x14ac:dyDescent="0.4">
      <c r="A68" s="31" t="s">
        <v>65</v>
      </c>
      <c r="B68" s="26" t="s">
        <v>20</v>
      </c>
      <c r="C68" s="24">
        <v>45488</v>
      </c>
      <c r="D68" s="17" t="str" cm="1">
        <f t="array" aca="1" ref="D68" ca="1">_xlfn.IFS($B68="west",NOW(),$B68="east","          -",$B68="south","          -",$B68="central","          -",$B68="north","          -")</f>
        <v xml:space="preserve">          -</v>
      </c>
    </row>
    <row r="69" spans="1:4" ht="15" thickBot="1" x14ac:dyDescent="0.4">
      <c r="A69" s="4" t="s">
        <v>68</v>
      </c>
      <c r="B69" s="1" t="s">
        <v>11</v>
      </c>
      <c r="C69" s="3">
        <v>45488</v>
      </c>
      <c r="D69" s="17" cm="1">
        <f t="array" aca="1" ref="D69" ca="1">_xlfn.IFS($B69="west",NOW(),$B69="east","          -",$B69="south","          -",$B69="central","          -",$B69="north","          -")</f>
        <v>45979.974955902777</v>
      </c>
    </row>
    <row r="70" spans="1:4" ht="15" thickBot="1" x14ac:dyDescent="0.4">
      <c r="A70" s="31" t="s">
        <v>57</v>
      </c>
      <c r="B70" s="26" t="s">
        <v>24</v>
      </c>
      <c r="C70" s="24">
        <v>45494</v>
      </c>
      <c r="D70" s="17" t="str" cm="1">
        <f t="array" aca="1" ref="D70" ca="1">_xlfn.IFS($B70="west",NOW(),$B70="east","          -",$B70="south","          -",$B70="central","          -",$B70="north","          -")</f>
        <v xml:space="preserve">          -</v>
      </c>
    </row>
    <row r="71" spans="1:4" ht="15" thickBot="1" x14ac:dyDescent="0.4">
      <c r="A71" s="4" t="s">
        <v>44</v>
      </c>
      <c r="B71" s="1" t="s">
        <v>34</v>
      </c>
      <c r="C71" s="3">
        <v>45502</v>
      </c>
      <c r="D71" s="17" t="str" cm="1">
        <f t="array" aca="1" ref="D71" ca="1">_xlfn.IFS($B71="west",NOW(),$B71="east","          -",$B71="south","          -",$B71="central","          -",$B71="north","          -")</f>
        <v xml:space="preserve">          -</v>
      </c>
    </row>
    <row r="72" spans="1:4" ht="15" thickBot="1" x14ac:dyDescent="0.4">
      <c r="A72" s="31" t="s">
        <v>22</v>
      </c>
      <c r="B72" s="26" t="s">
        <v>34</v>
      </c>
      <c r="C72" s="24">
        <v>45503</v>
      </c>
      <c r="D72" s="17" t="str" cm="1">
        <f t="array" aca="1" ref="D72" ca="1">_xlfn.IFS($B72="west",NOW(),$B72="east","          -",$B72="south","          -",$B72="central","          -",$B72="north","          -")</f>
        <v xml:space="preserve">          -</v>
      </c>
    </row>
    <row r="73" spans="1:4" ht="15" thickBot="1" x14ac:dyDescent="0.4">
      <c r="A73" s="4" t="s">
        <v>68</v>
      </c>
      <c r="B73" s="1" t="s">
        <v>20</v>
      </c>
      <c r="C73" s="3">
        <v>45504</v>
      </c>
      <c r="D73" s="17" t="str" cm="1">
        <f t="array" aca="1" ref="D73" ca="1">_xlfn.IFS($B73="west",NOW(),$B73="east","          -",$B73="south","          -",$B73="central","          -",$B73="north","          -")</f>
        <v xml:space="preserve">          -</v>
      </c>
    </row>
    <row r="74" spans="1:4" ht="15" thickBot="1" x14ac:dyDescent="0.4">
      <c r="A74" s="31" t="s">
        <v>70</v>
      </c>
      <c r="B74" s="26" t="s">
        <v>18</v>
      </c>
      <c r="C74" s="24">
        <v>45509</v>
      </c>
      <c r="D74" s="17" t="str" cm="1">
        <f t="array" aca="1" ref="D74" ca="1">_xlfn.IFS($B74="west",NOW(),$B74="east","          -",$B74="south","          -",$B74="central","          -",$B74="north","          -")</f>
        <v xml:space="preserve">          -</v>
      </c>
    </row>
    <row r="75" spans="1:4" ht="15" thickBot="1" x14ac:dyDescent="0.4">
      <c r="A75" s="4" t="s">
        <v>13</v>
      </c>
      <c r="B75" s="1" t="s">
        <v>20</v>
      </c>
      <c r="C75" s="3">
        <v>45509</v>
      </c>
      <c r="D75" s="17" t="str" cm="1">
        <f t="array" aca="1" ref="D75" ca="1">_xlfn.IFS($B75="west",NOW(),$B75="east","          -",$B75="south","          -",$B75="central","          -",$B75="north","          -")</f>
        <v xml:space="preserve">          -</v>
      </c>
    </row>
    <row r="76" spans="1:4" ht="15" thickBot="1" x14ac:dyDescent="0.4">
      <c r="A76" s="31" t="s">
        <v>70</v>
      </c>
      <c r="B76" s="26" t="s">
        <v>11</v>
      </c>
      <c r="C76" s="24">
        <v>45512</v>
      </c>
      <c r="D76" s="17" cm="1">
        <f t="array" aca="1" ref="D76" ca="1">_xlfn.IFS($B76="west",NOW(),$B76="east","          -",$B76="south","          -",$B76="central","          -",$B76="north","          -")</f>
        <v>45979.974955902777</v>
      </c>
    </row>
    <row r="77" spans="1:4" ht="15" thickBot="1" x14ac:dyDescent="0.4">
      <c r="A77" s="4" t="s">
        <v>13</v>
      </c>
      <c r="B77" s="1" t="s">
        <v>11</v>
      </c>
      <c r="C77" s="3">
        <v>45513</v>
      </c>
      <c r="D77" s="17" cm="1">
        <f t="array" aca="1" ref="D77" ca="1">_xlfn.IFS($B77="west",NOW(),$B77="east","          -",$B77="south","          -",$B77="central","          -",$B77="north","          -")</f>
        <v>45979.974955902777</v>
      </c>
    </row>
    <row r="78" spans="1:4" ht="15" thickBot="1" x14ac:dyDescent="0.4">
      <c r="A78" s="31" t="s">
        <v>19</v>
      </c>
      <c r="B78" s="26" t="s">
        <v>34</v>
      </c>
      <c r="C78" s="24">
        <v>45519</v>
      </c>
      <c r="D78" s="17" t="str" cm="1">
        <f t="array" aca="1" ref="D78" ca="1">_xlfn.IFS($B78="west",NOW(),$B78="east","          -",$B78="south","          -",$B78="central","          -",$B78="north","          -")</f>
        <v xml:space="preserve">          -</v>
      </c>
    </row>
    <row r="79" spans="1:4" ht="15" thickBot="1" x14ac:dyDescent="0.4">
      <c r="A79" s="4" t="s">
        <v>72</v>
      </c>
      <c r="B79" s="1" t="s">
        <v>24</v>
      </c>
      <c r="C79" s="3">
        <v>45522</v>
      </c>
      <c r="D79" s="17" t="str" cm="1">
        <f t="array" aca="1" ref="D79" ca="1">_xlfn.IFS($B79="west",NOW(),$B79="east","          -",$B79="south","          -",$B79="central","          -",$B79="north","          -")</f>
        <v xml:space="preserve">          -</v>
      </c>
    </row>
    <row r="80" spans="1:4" ht="15" thickBot="1" x14ac:dyDescent="0.4">
      <c r="A80" s="31" t="s">
        <v>30</v>
      </c>
      <c r="B80" s="26" t="s">
        <v>11</v>
      </c>
      <c r="C80" s="24">
        <v>45523</v>
      </c>
      <c r="D80" s="17" cm="1">
        <f t="array" aca="1" ref="D80" ca="1">_xlfn.IFS($B80="west",NOW(),$B80="east","          -",$B80="south","          -",$B80="central","          -",$B80="north","          -")</f>
        <v>45979.974955902777</v>
      </c>
    </row>
    <row r="81" spans="1:4" ht="15" thickBot="1" x14ac:dyDescent="0.4">
      <c r="A81" s="4" t="s">
        <v>22</v>
      </c>
      <c r="B81" s="1" t="s">
        <v>18</v>
      </c>
      <c r="C81" s="3">
        <v>45526</v>
      </c>
      <c r="D81" s="17" t="str" cm="1">
        <f t="array" aca="1" ref="D81" ca="1">_xlfn.IFS($B81="west",NOW(),$B81="east","          -",$B81="south","          -",$B81="central","          -",$B81="north","          -")</f>
        <v xml:space="preserve">          -</v>
      </c>
    </row>
    <row r="82" spans="1:4" ht="15" thickBot="1" x14ac:dyDescent="0.4">
      <c r="A82" s="31" t="s">
        <v>25</v>
      </c>
      <c r="B82" s="26" t="s">
        <v>24</v>
      </c>
      <c r="C82" s="24">
        <v>45534</v>
      </c>
      <c r="D82" s="17" t="str" cm="1">
        <f t="array" aca="1" ref="D82" ca="1">_xlfn.IFS($B82="west",NOW(),$B82="east","          -",$B82="south","          -",$B82="central","          -",$B82="north","          -")</f>
        <v xml:space="preserve">          -</v>
      </c>
    </row>
    <row r="83" spans="1:4" ht="15" thickBot="1" x14ac:dyDescent="0.4">
      <c r="A83" s="4" t="s">
        <v>68</v>
      </c>
      <c r="B83" s="1" t="s">
        <v>18</v>
      </c>
      <c r="C83" s="3">
        <v>45534</v>
      </c>
      <c r="D83" s="17" t="str" cm="1">
        <f t="array" aca="1" ref="D83" ca="1">_xlfn.IFS($B83="west",NOW(),$B83="east","          -",$B83="south","          -",$B83="central","          -",$B83="north","          -")</f>
        <v xml:space="preserve">          -</v>
      </c>
    </row>
    <row r="84" spans="1:4" ht="15" thickBot="1" x14ac:dyDescent="0.4">
      <c r="A84" s="31" t="s">
        <v>52</v>
      </c>
      <c r="B84" s="26" t="s">
        <v>34</v>
      </c>
      <c r="C84" s="24">
        <v>45536</v>
      </c>
      <c r="D84" s="17" t="str" cm="1">
        <f t="array" aca="1" ref="D84" ca="1">_xlfn.IFS($B84="west",NOW(),$B84="east","          -",$B84="south","          -",$B84="central","          -",$B84="north","          -")</f>
        <v xml:space="preserve">          -</v>
      </c>
    </row>
    <row r="85" spans="1:4" ht="15" thickBot="1" x14ac:dyDescent="0.4">
      <c r="A85" s="4" t="s">
        <v>19</v>
      </c>
      <c r="B85" s="1" t="s">
        <v>34</v>
      </c>
      <c r="C85" s="3">
        <v>45536</v>
      </c>
      <c r="D85" s="17" t="str" cm="1">
        <f t="array" aca="1" ref="D85" ca="1">_xlfn.IFS($B85="west",NOW(),$B85="east","          -",$B85="south","          -",$B85="central","          -",$B85="north","          -")</f>
        <v xml:space="preserve">          -</v>
      </c>
    </row>
    <row r="86" spans="1:4" ht="15" thickBot="1" x14ac:dyDescent="0.4">
      <c r="A86" s="31" t="s">
        <v>58</v>
      </c>
      <c r="B86" s="26" t="s">
        <v>11</v>
      </c>
      <c r="C86" s="24">
        <v>45544</v>
      </c>
      <c r="D86" s="17" cm="1">
        <f t="array" aca="1" ref="D86" ca="1">_xlfn.IFS($B86="west",NOW(),$B86="east","          -",$B86="south","          -",$B86="central","          -",$B86="north","          -")</f>
        <v>45979.974955902777</v>
      </c>
    </row>
    <row r="87" spans="1:4" ht="15" thickBot="1" x14ac:dyDescent="0.4">
      <c r="A87" s="4" t="s">
        <v>67</v>
      </c>
      <c r="B87" s="1" t="s">
        <v>20</v>
      </c>
      <c r="C87" s="3">
        <v>45544</v>
      </c>
      <c r="D87" s="17" t="str" cm="1">
        <f t="array" aca="1" ref="D87" ca="1">_xlfn.IFS($B87="west",NOW(),$B87="east","          -",$B87="south","          -",$B87="central","          -",$B87="north","          -")</f>
        <v xml:space="preserve">          -</v>
      </c>
    </row>
    <row r="88" spans="1:4" ht="15" thickBot="1" x14ac:dyDescent="0.4">
      <c r="A88" s="31" t="s">
        <v>40</v>
      </c>
      <c r="B88" s="26" t="s">
        <v>18</v>
      </c>
      <c r="C88" s="24">
        <v>45546</v>
      </c>
      <c r="D88" s="17" t="str" cm="1">
        <f t="array" aca="1" ref="D88" ca="1">_xlfn.IFS($B88="west",NOW(),$B88="east","          -",$B88="south","          -",$B88="central","          -",$B88="north","          -")</f>
        <v xml:space="preserve">          -</v>
      </c>
    </row>
    <row r="89" spans="1:4" ht="15" thickBot="1" x14ac:dyDescent="0.4">
      <c r="A89" s="4" t="s">
        <v>72</v>
      </c>
      <c r="B89" s="1" t="s">
        <v>11</v>
      </c>
      <c r="C89" s="3">
        <v>45547</v>
      </c>
      <c r="D89" s="17" cm="1">
        <f t="array" aca="1" ref="D89" ca="1">_xlfn.IFS($B89="west",NOW(),$B89="east","          -",$B89="south","          -",$B89="central","          -",$B89="north","          -")</f>
        <v>45979.974955902777</v>
      </c>
    </row>
    <row r="90" spans="1:4" ht="15" thickBot="1" x14ac:dyDescent="0.4">
      <c r="A90" s="31" t="s">
        <v>40</v>
      </c>
      <c r="B90" s="26" t="s">
        <v>18</v>
      </c>
      <c r="C90" s="24">
        <v>45549</v>
      </c>
      <c r="D90" s="17" t="str" cm="1">
        <f t="array" aca="1" ref="D90" ca="1">_xlfn.IFS($B90="west",NOW(),$B90="east","          -",$B90="south","          -",$B90="central","          -",$B90="north","          -")</f>
        <v xml:space="preserve">          -</v>
      </c>
    </row>
    <row r="91" spans="1:4" ht="15" thickBot="1" x14ac:dyDescent="0.4">
      <c r="A91" s="4" t="s">
        <v>49</v>
      </c>
      <c r="B91" s="1" t="s">
        <v>20</v>
      </c>
      <c r="C91" s="3">
        <v>45549</v>
      </c>
      <c r="D91" s="17" t="str" cm="1">
        <f t="array" aca="1" ref="D91" ca="1">_xlfn.IFS($B91="west",NOW(),$B91="east","          -",$B91="south","          -",$B91="central","          -",$B91="north","          -")</f>
        <v xml:space="preserve">          -</v>
      </c>
    </row>
    <row r="92" spans="1:4" ht="15" thickBot="1" x14ac:dyDescent="0.4">
      <c r="A92" s="31" t="s">
        <v>25</v>
      </c>
      <c r="B92" s="26" t="s">
        <v>11</v>
      </c>
      <c r="C92" s="24">
        <v>45551</v>
      </c>
      <c r="D92" s="17" cm="1">
        <f t="array" aca="1" ref="D92" ca="1">_xlfn.IFS($B92="west",NOW(),$B92="east","          -",$B92="south","          -",$B92="central","          -",$B92="north","          -")</f>
        <v>45979.974955902777</v>
      </c>
    </row>
    <row r="93" spans="1:4" ht="15" thickBot="1" x14ac:dyDescent="0.4">
      <c r="A93" s="4" t="s">
        <v>73</v>
      </c>
      <c r="B93" s="1" t="s">
        <v>20</v>
      </c>
      <c r="C93" s="3">
        <v>45552</v>
      </c>
      <c r="D93" s="17" t="str" cm="1">
        <f t="array" aca="1" ref="D93" ca="1">_xlfn.IFS($B93="west",NOW(),$B93="east","          -",$B93="south","          -",$B93="central","          -",$B93="north","          -")</f>
        <v xml:space="preserve">          -</v>
      </c>
    </row>
    <row r="94" spans="1:4" ht="15" thickBot="1" x14ac:dyDescent="0.4">
      <c r="A94" s="31" t="s">
        <v>74</v>
      </c>
      <c r="B94" s="26" t="s">
        <v>18</v>
      </c>
      <c r="C94" s="24">
        <v>45552</v>
      </c>
      <c r="D94" s="17" t="str" cm="1">
        <f t="array" aca="1" ref="D94" ca="1">_xlfn.IFS($B94="west",NOW(),$B94="east","          -",$B94="south","          -",$B94="central","          -",$B94="north","          -")</f>
        <v xml:space="preserve">          -</v>
      </c>
    </row>
    <row r="95" spans="1:4" ht="15" thickBot="1" x14ac:dyDescent="0.4">
      <c r="A95" s="4" t="s">
        <v>67</v>
      </c>
      <c r="B95" s="1" t="s">
        <v>11</v>
      </c>
      <c r="C95" s="3">
        <v>45553</v>
      </c>
      <c r="D95" s="17" cm="1">
        <f t="array" aca="1" ref="D95" ca="1">_xlfn.IFS($B95="west",NOW(),$B95="east","          -",$B95="south","          -",$B95="central","          -",$B95="north","          -")</f>
        <v>45979.974955902777</v>
      </c>
    </row>
    <row r="96" spans="1:4" ht="15" thickBot="1" x14ac:dyDescent="0.4">
      <c r="A96" s="31" t="s">
        <v>75</v>
      </c>
      <c r="B96" s="26" t="s">
        <v>20</v>
      </c>
      <c r="C96" s="24">
        <v>45557</v>
      </c>
      <c r="D96" s="17" t="str" cm="1">
        <f t="array" aca="1" ref="D96" ca="1">_xlfn.IFS($B96="west",NOW(),$B96="east","          -",$B96="south","          -",$B96="central","          -",$B96="north","          -")</f>
        <v xml:space="preserve">          -</v>
      </c>
    </row>
    <row r="97" spans="1:4" ht="15" thickBot="1" x14ac:dyDescent="0.4">
      <c r="A97" s="4" t="s">
        <v>68</v>
      </c>
      <c r="B97" s="1" t="s">
        <v>20</v>
      </c>
      <c r="C97" s="3">
        <v>45558</v>
      </c>
      <c r="D97" s="17" t="str" cm="1">
        <f t="array" aca="1" ref="D97" ca="1">_xlfn.IFS($B97="west",NOW(),$B97="east","          -",$B97="south","          -",$B97="central","          -",$B97="north","          -")</f>
        <v xml:space="preserve">          -</v>
      </c>
    </row>
    <row r="98" spans="1:4" ht="15" thickBot="1" x14ac:dyDescent="0.4">
      <c r="A98" s="31" t="s">
        <v>41</v>
      </c>
      <c r="B98" s="26" t="s">
        <v>11</v>
      </c>
      <c r="C98" s="24">
        <v>45559</v>
      </c>
      <c r="D98" s="17" cm="1">
        <f t="array" aca="1" ref="D98" ca="1">_xlfn.IFS($B98="west",NOW(),$B98="east","          -",$B98="south","          -",$B98="central","          -",$B98="north","          -")</f>
        <v>45979.974955902777</v>
      </c>
    </row>
    <row r="99" spans="1:4" ht="15" thickBot="1" x14ac:dyDescent="0.4">
      <c r="A99" s="4" t="s">
        <v>57</v>
      </c>
      <c r="B99" s="1" t="s">
        <v>24</v>
      </c>
      <c r="C99" s="3">
        <v>45559</v>
      </c>
      <c r="D99" s="17" t="str" cm="1">
        <f t="array" aca="1" ref="D99" ca="1">_xlfn.IFS($B99="west",NOW(),$B99="east","          -",$B99="south","          -",$B99="central","          -",$B99="north","          -")</f>
        <v xml:space="preserve">          -</v>
      </c>
    </row>
    <row r="100" spans="1:4" ht="15" thickBot="1" x14ac:dyDescent="0.4">
      <c r="A100" s="31" t="s">
        <v>16</v>
      </c>
      <c r="B100" s="26" t="s">
        <v>11</v>
      </c>
      <c r="C100" s="24">
        <v>45564</v>
      </c>
      <c r="D100" s="17" cm="1">
        <f t="array" aca="1" ref="D100" ca="1">_xlfn.IFS($B100="west",NOW(),$B100="east","          -",$B100="south","          -",$B100="central","          -",$B100="north","          -")</f>
        <v>45979.974955902777</v>
      </c>
    </row>
    <row r="101" spans="1:4" ht="15" thickBot="1" x14ac:dyDescent="0.4">
      <c r="A101" s="4" t="s">
        <v>67</v>
      </c>
      <c r="B101" s="1" t="s">
        <v>34</v>
      </c>
      <c r="C101" s="3">
        <v>45564</v>
      </c>
      <c r="D101" s="17" t="str" cm="1">
        <f t="array" aca="1" ref="D101" ca="1">_xlfn.IFS($B101="west",NOW(),$B101="east","          -",$B101="south","          -",$B101="central","          -",$B101="north","          -")</f>
        <v xml:space="preserve">          -</v>
      </c>
    </row>
    <row r="102" spans="1:4" ht="15" thickBot="1" x14ac:dyDescent="0.4">
      <c r="A102" s="31" t="s">
        <v>74</v>
      </c>
      <c r="B102" s="26" t="s">
        <v>24</v>
      </c>
      <c r="C102" s="24">
        <v>45565</v>
      </c>
      <c r="D102" s="17" t="str" cm="1">
        <f t="array" aca="1" ref="D102" ca="1">_xlfn.IFS($B102="west",NOW(),$B102="east","          -",$B102="south","          -",$B102="central","          -",$B102="north","          -")</f>
        <v xml:space="preserve">          -</v>
      </c>
    </row>
    <row r="103" spans="1:4" ht="15" thickBot="1" x14ac:dyDescent="0.4">
      <c r="A103" s="4" t="s">
        <v>60</v>
      </c>
      <c r="B103" s="1" t="s">
        <v>24</v>
      </c>
      <c r="C103" s="3">
        <v>45565</v>
      </c>
      <c r="D103" s="17" t="str" cm="1">
        <f t="array" aca="1" ref="D103" ca="1">_xlfn.IFS($B103="west",NOW(),$B103="east","          -",$B103="south","          -",$B103="central","          -",$B103="north","          -")</f>
        <v xml:space="preserve">          -</v>
      </c>
    </row>
    <row r="104" spans="1:4" ht="15" thickBot="1" x14ac:dyDescent="0.4">
      <c r="A104" s="31" t="s">
        <v>44</v>
      </c>
      <c r="B104" s="26" t="s">
        <v>34</v>
      </c>
      <c r="C104" s="24">
        <v>45567</v>
      </c>
      <c r="D104" s="17" t="str" cm="1">
        <f t="array" aca="1" ref="D104" ca="1">_xlfn.IFS($B104="west",NOW(),$B104="east","          -",$B104="south","          -",$B104="central","          -",$B104="north","          -")</f>
        <v xml:space="preserve">          -</v>
      </c>
    </row>
    <row r="105" spans="1:4" ht="15" thickBot="1" x14ac:dyDescent="0.4">
      <c r="A105" s="4" t="s">
        <v>13</v>
      </c>
      <c r="B105" s="1" t="s">
        <v>24</v>
      </c>
      <c r="C105" s="3">
        <v>45570</v>
      </c>
      <c r="D105" s="17" t="str" cm="1">
        <f t="array" aca="1" ref="D105" ca="1">_xlfn.IFS($B105="west",NOW(),$B105="east","          -",$B105="south","          -",$B105="central","          -",$B105="north","          -")</f>
        <v xml:space="preserve">          -</v>
      </c>
    </row>
    <row r="106" spans="1:4" ht="15" thickBot="1" x14ac:dyDescent="0.4">
      <c r="A106" s="31" t="s">
        <v>54</v>
      </c>
      <c r="B106" s="26" t="s">
        <v>18</v>
      </c>
      <c r="C106" s="24">
        <v>45575</v>
      </c>
      <c r="D106" s="17" t="str" cm="1">
        <f t="array" aca="1" ref="D106" ca="1">_xlfn.IFS($B106="west",NOW(),$B106="east","          -",$B106="south","          -",$B106="central","          -",$B106="north","          -")</f>
        <v xml:space="preserve">          -</v>
      </c>
    </row>
    <row r="107" spans="1:4" ht="15" thickBot="1" x14ac:dyDescent="0.4">
      <c r="A107" s="4" t="s">
        <v>37</v>
      </c>
      <c r="B107" s="1" t="s">
        <v>20</v>
      </c>
      <c r="C107" s="3">
        <v>45577</v>
      </c>
      <c r="D107" s="17" t="str" cm="1">
        <f t="array" aca="1" ref="D107" ca="1">_xlfn.IFS($B107="west",NOW(),$B107="east","          -",$B107="south","          -",$B107="central","          -",$B107="north","          -")</f>
        <v xml:space="preserve">          -</v>
      </c>
    </row>
    <row r="108" spans="1:4" ht="15" thickBot="1" x14ac:dyDescent="0.4">
      <c r="A108" s="31" t="s">
        <v>44</v>
      </c>
      <c r="B108" s="26" t="s">
        <v>18</v>
      </c>
      <c r="C108" s="24">
        <v>45577</v>
      </c>
      <c r="D108" s="17" t="str" cm="1">
        <f t="array" aca="1" ref="D108" ca="1">_xlfn.IFS($B108="west",NOW(),$B108="east","          -",$B108="south","          -",$B108="central","          -",$B108="north","          -")</f>
        <v xml:space="preserve">          -</v>
      </c>
    </row>
    <row r="109" spans="1:4" ht="15" thickBot="1" x14ac:dyDescent="0.4">
      <c r="A109" s="4" t="s">
        <v>58</v>
      </c>
      <c r="B109" s="1" t="s">
        <v>11</v>
      </c>
      <c r="C109" s="3">
        <v>45580</v>
      </c>
      <c r="D109" s="17" cm="1">
        <f t="array" aca="1" ref="D109" ca="1">_xlfn.IFS($B109="west",NOW(),$B109="east","          -",$B109="south","          -",$B109="central","          -",$B109="north","          -")</f>
        <v>45979.974955902777</v>
      </c>
    </row>
    <row r="110" spans="1:4" ht="15" thickBot="1" x14ac:dyDescent="0.4">
      <c r="A110" s="31" t="s">
        <v>54</v>
      </c>
      <c r="B110" s="26" t="s">
        <v>34</v>
      </c>
      <c r="C110" s="24">
        <v>45581</v>
      </c>
      <c r="D110" s="17" t="str" cm="1">
        <f t="array" aca="1" ref="D110" ca="1">_xlfn.IFS($B110="west",NOW(),$B110="east","          -",$B110="south","          -",$B110="central","          -",$B110="north","          -")</f>
        <v xml:space="preserve">          -</v>
      </c>
    </row>
    <row r="111" spans="1:4" ht="15" thickBot="1" x14ac:dyDescent="0.4">
      <c r="A111" s="4" t="s">
        <v>9</v>
      </c>
      <c r="B111" s="1" t="s">
        <v>34</v>
      </c>
      <c r="C111" s="3">
        <v>45581</v>
      </c>
      <c r="D111" s="17" t="str" cm="1">
        <f t="array" aca="1" ref="D111" ca="1">_xlfn.IFS($B111="west",NOW(),$B111="east","          -",$B111="south","          -",$B111="central","          -",$B111="north","          -")</f>
        <v xml:space="preserve">          -</v>
      </c>
    </row>
    <row r="112" spans="1:4" ht="15" thickBot="1" x14ac:dyDescent="0.4">
      <c r="A112" s="31" t="s">
        <v>70</v>
      </c>
      <c r="B112" s="26" t="s">
        <v>18</v>
      </c>
      <c r="C112" s="24">
        <v>45582</v>
      </c>
      <c r="D112" s="17" t="str" cm="1">
        <f t="array" aca="1" ref="D112" ca="1">_xlfn.IFS($B112="west",NOW(),$B112="east","          -",$B112="south","          -",$B112="central","          -",$B112="north","          -")</f>
        <v xml:space="preserve">          -</v>
      </c>
    </row>
    <row r="113" spans="1:4" ht="15" thickBot="1" x14ac:dyDescent="0.4">
      <c r="A113" s="4" t="s">
        <v>74</v>
      </c>
      <c r="B113" s="1" t="s">
        <v>11</v>
      </c>
      <c r="C113" s="3">
        <v>45584</v>
      </c>
      <c r="D113" s="17" cm="1">
        <f t="array" aca="1" ref="D113" ca="1">_xlfn.IFS($B113="west",NOW(),$B113="east","          -",$B113="south","          -",$B113="central","          -",$B113="north","          -")</f>
        <v>45979.974955902777</v>
      </c>
    </row>
    <row r="114" spans="1:4" ht="15" thickBot="1" x14ac:dyDescent="0.4">
      <c r="A114" s="31" t="s">
        <v>46</v>
      </c>
      <c r="B114" s="26" t="s">
        <v>11</v>
      </c>
      <c r="C114" s="24">
        <v>45584</v>
      </c>
      <c r="D114" s="17" cm="1">
        <f t="array" aca="1" ref="D114" ca="1">_xlfn.IFS($B114="west",NOW(),$B114="east","          -",$B114="south","          -",$B114="central","          -",$B114="north","          -")</f>
        <v>45979.974955902777</v>
      </c>
    </row>
    <row r="115" spans="1:4" ht="15" thickBot="1" x14ac:dyDescent="0.4">
      <c r="A115" s="4" t="s">
        <v>32</v>
      </c>
      <c r="B115" s="1" t="s">
        <v>20</v>
      </c>
      <c r="C115" s="3">
        <v>45585</v>
      </c>
      <c r="D115" s="17" t="str" cm="1">
        <f t="array" aca="1" ref="D115" ca="1">_xlfn.IFS($B115="west",NOW(),$B115="east","          -",$B115="south","          -",$B115="central","          -",$B115="north","          -")</f>
        <v xml:space="preserve">          -</v>
      </c>
    </row>
    <row r="116" spans="1:4" ht="15" thickBot="1" x14ac:dyDescent="0.4">
      <c r="A116" s="31" t="s">
        <v>67</v>
      </c>
      <c r="B116" s="26" t="s">
        <v>24</v>
      </c>
      <c r="C116" s="24">
        <v>45593</v>
      </c>
      <c r="D116" s="17" t="str" cm="1">
        <f t="array" aca="1" ref="D116" ca="1">_xlfn.IFS($B116="west",NOW(),$B116="east","          -",$B116="south","          -",$B116="central","          -",$B116="north","          -")</f>
        <v xml:space="preserve">          -</v>
      </c>
    </row>
    <row r="117" spans="1:4" ht="15" thickBot="1" x14ac:dyDescent="0.4">
      <c r="A117" s="4" t="s">
        <v>13</v>
      </c>
      <c r="B117" s="1" t="s">
        <v>11</v>
      </c>
      <c r="C117" s="3">
        <v>45595</v>
      </c>
      <c r="D117" s="17" cm="1">
        <f t="array" aca="1" ref="D117" ca="1">_xlfn.IFS($B117="west",NOW(),$B117="east","          -",$B117="south","          -",$B117="central","          -",$B117="north","          -")</f>
        <v>45979.974955902777</v>
      </c>
    </row>
    <row r="118" spans="1:4" ht="15" thickBot="1" x14ac:dyDescent="0.4">
      <c r="A118" s="31" t="s">
        <v>73</v>
      </c>
      <c r="B118" s="26" t="s">
        <v>34</v>
      </c>
      <c r="C118" s="24">
        <v>45597</v>
      </c>
      <c r="D118" s="17" t="str" cm="1">
        <f t="array" aca="1" ref="D118" ca="1">_xlfn.IFS($B118="west",NOW(),$B118="east","          -",$B118="south","          -",$B118="central","          -",$B118="north","          -")</f>
        <v xml:space="preserve">          -</v>
      </c>
    </row>
    <row r="119" spans="1:4" ht="15" thickBot="1" x14ac:dyDescent="0.4">
      <c r="A119" s="4" t="s">
        <v>44</v>
      </c>
      <c r="B119" s="1" t="s">
        <v>18</v>
      </c>
      <c r="C119" s="3">
        <v>45599</v>
      </c>
      <c r="D119" s="17" t="str" cm="1">
        <f t="array" aca="1" ref="D119" ca="1">_xlfn.IFS($B119="west",NOW(),$B119="east","          -",$B119="south","          -",$B119="central","          -",$B119="north","          -")</f>
        <v xml:space="preserve">          -</v>
      </c>
    </row>
    <row r="120" spans="1:4" ht="15" thickBot="1" x14ac:dyDescent="0.4">
      <c r="A120" s="31" t="s">
        <v>54</v>
      </c>
      <c r="B120" s="26" t="s">
        <v>18</v>
      </c>
      <c r="C120" s="24">
        <v>45605</v>
      </c>
      <c r="D120" s="17" t="str" cm="1">
        <f t="array" aca="1" ref="D120" ca="1">_xlfn.IFS($B120="west",NOW(),$B120="east","          -",$B120="south","          -",$B120="central","          -",$B120="north","          -")</f>
        <v xml:space="preserve">          -</v>
      </c>
    </row>
    <row r="121" spans="1:4" ht="15" thickBot="1" x14ac:dyDescent="0.4">
      <c r="A121" s="4" t="s">
        <v>30</v>
      </c>
      <c r="B121" s="1" t="s">
        <v>24</v>
      </c>
      <c r="C121" s="3">
        <v>45605</v>
      </c>
      <c r="D121" s="17" t="str" cm="1">
        <f t="array" aca="1" ref="D121" ca="1">_xlfn.IFS($B121="west",NOW(),$B121="east","          -",$B121="south","          -",$B121="central","          -",$B121="north","          -")</f>
        <v xml:space="preserve">          -</v>
      </c>
    </row>
    <row r="122" spans="1:4" ht="15" thickBot="1" x14ac:dyDescent="0.4">
      <c r="A122" s="31" t="s">
        <v>28</v>
      </c>
      <c r="B122" s="26" t="s">
        <v>24</v>
      </c>
      <c r="C122" s="24">
        <v>45608</v>
      </c>
      <c r="D122" s="17" t="str" cm="1">
        <f t="array" aca="1" ref="D122" ca="1">_xlfn.IFS($B122="west",NOW(),$B122="east","          -",$B122="south","          -",$B122="central","          -",$B122="north","          -")</f>
        <v xml:space="preserve">          -</v>
      </c>
    </row>
    <row r="123" spans="1:4" ht="15" thickBot="1" x14ac:dyDescent="0.4">
      <c r="A123" s="4" t="s">
        <v>52</v>
      </c>
      <c r="B123" s="1" t="s">
        <v>20</v>
      </c>
      <c r="C123" s="3">
        <v>45611</v>
      </c>
      <c r="D123" s="17" t="str" cm="1">
        <f t="array" aca="1" ref="D123" ca="1">_xlfn.IFS($B123="west",NOW(),$B123="east","          -",$B123="south","          -",$B123="central","          -",$B123="north","          -")</f>
        <v xml:space="preserve">          -</v>
      </c>
    </row>
    <row r="124" spans="1:4" ht="15" thickBot="1" x14ac:dyDescent="0.4">
      <c r="A124" s="31" t="s">
        <v>54</v>
      </c>
      <c r="B124" s="26" t="s">
        <v>18</v>
      </c>
      <c r="C124" s="24">
        <v>45612</v>
      </c>
      <c r="D124" s="17" t="str" cm="1">
        <f t="array" aca="1" ref="D124" ca="1">_xlfn.IFS($B124="west",NOW(),$B124="east","          -",$B124="south","          -",$B124="central","          -",$B124="north","          -")</f>
        <v xml:space="preserve">          -</v>
      </c>
    </row>
    <row r="125" spans="1:4" ht="15" thickBot="1" x14ac:dyDescent="0.4">
      <c r="A125" s="4" t="s">
        <v>9</v>
      </c>
      <c r="B125" s="1" t="s">
        <v>20</v>
      </c>
      <c r="C125" s="3">
        <v>45613</v>
      </c>
      <c r="D125" s="17" t="str" cm="1">
        <f t="array" aca="1" ref="D125" ca="1">_xlfn.IFS($B125="west",NOW(),$B125="east","          -",$B125="south","          -",$B125="central","          -",$B125="north","          -")</f>
        <v xml:space="preserve">          -</v>
      </c>
    </row>
    <row r="126" spans="1:4" ht="15" thickBot="1" x14ac:dyDescent="0.4">
      <c r="A126" s="31" t="s">
        <v>72</v>
      </c>
      <c r="B126" s="26" t="s">
        <v>34</v>
      </c>
      <c r="C126" s="24">
        <v>45613</v>
      </c>
      <c r="D126" s="17" t="str" cm="1">
        <f t="array" aca="1" ref="D126" ca="1">_xlfn.IFS($B126="west",NOW(),$B126="east","          -",$B126="south","          -",$B126="central","          -",$B126="north","          -")</f>
        <v xml:space="preserve">          -</v>
      </c>
    </row>
    <row r="127" spans="1:4" ht="15" thickBot="1" x14ac:dyDescent="0.4">
      <c r="A127" s="4" t="s">
        <v>70</v>
      </c>
      <c r="B127" s="1" t="s">
        <v>24</v>
      </c>
      <c r="C127" s="3">
        <v>45613</v>
      </c>
      <c r="D127" s="17" t="str" cm="1">
        <f t="array" aca="1" ref="D127" ca="1">_xlfn.IFS($B127="west",NOW(),$B127="east","          -",$B127="south","          -",$B127="central","          -",$B127="north","          -")</f>
        <v xml:space="preserve">          -</v>
      </c>
    </row>
    <row r="128" spans="1:4" ht="15" thickBot="1" x14ac:dyDescent="0.4">
      <c r="A128" s="31" t="s">
        <v>65</v>
      </c>
      <c r="B128" s="26" t="s">
        <v>18</v>
      </c>
      <c r="C128" s="24">
        <v>45615</v>
      </c>
      <c r="D128" s="17" t="str" cm="1">
        <f t="array" aca="1" ref="D128" ca="1">_xlfn.IFS($B128="west",NOW(),$B128="east","          -",$B128="south","          -",$B128="central","          -",$B128="north","          -")</f>
        <v xml:space="preserve">          -</v>
      </c>
    </row>
    <row r="129" spans="1:4" ht="15" thickBot="1" x14ac:dyDescent="0.4">
      <c r="A129" s="4" t="s">
        <v>32</v>
      </c>
      <c r="B129" s="1" t="s">
        <v>20</v>
      </c>
      <c r="C129" s="3">
        <v>45615</v>
      </c>
      <c r="D129" s="17" t="str" cm="1">
        <f t="array" aca="1" ref="D129" ca="1">_xlfn.IFS($B129="west",NOW(),$B129="east","          -",$B129="south","          -",$B129="central","          -",$B129="north","          -")</f>
        <v xml:space="preserve">          -</v>
      </c>
    </row>
    <row r="130" spans="1:4" ht="15" thickBot="1" x14ac:dyDescent="0.4">
      <c r="A130" s="31" t="s">
        <v>41</v>
      </c>
      <c r="B130" s="26" t="s">
        <v>18</v>
      </c>
      <c r="C130" s="24">
        <v>45615</v>
      </c>
      <c r="D130" s="17" t="str" cm="1">
        <f t="array" aca="1" ref="D130" ca="1">_xlfn.IFS($B130="west",NOW(),$B130="east","          -",$B130="south","          -",$B130="central","          -",$B130="north","          -")</f>
        <v xml:space="preserve">          -</v>
      </c>
    </row>
    <row r="131" spans="1:4" ht="15" thickBot="1" x14ac:dyDescent="0.4">
      <c r="A131" s="4" t="s">
        <v>74</v>
      </c>
      <c r="B131" s="1" t="s">
        <v>11</v>
      </c>
      <c r="C131" s="3">
        <v>45616</v>
      </c>
      <c r="D131" s="17" cm="1">
        <f t="array" aca="1" ref="D131" ca="1">_xlfn.IFS($B131="west",NOW(),$B131="east","          -",$B131="south","          -",$B131="central","          -",$B131="north","          -")</f>
        <v>45979.974955902777</v>
      </c>
    </row>
    <row r="132" spans="1:4" ht="15" thickBot="1" x14ac:dyDescent="0.4">
      <c r="A132" s="31" t="s">
        <v>63</v>
      </c>
      <c r="B132" s="26" t="s">
        <v>18</v>
      </c>
      <c r="C132" s="24">
        <v>45616</v>
      </c>
      <c r="D132" s="17" t="str" cm="1">
        <f t="array" aca="1" ref="D132" ca="1">_xlfn.IFS($B132="west",NOW(),$B132="east","          -",$B132="south","          -",$B132="central","          -",$B132="north","          -")</f>
        <v xml:space="preserve">          -</v>
      </c>
    </row>
    <row r="133" spans="1:4" ht="15" thickBot="1" x14ac:dyDescent="0.4">
      <c r="A133" s="4" t="s">
        <v>57</v>
      </c>
      <c r="B133" s="1" t="s">
        <v>34</v>
      </c>
      <c r="C133" s="3">
        <v>45622</v>
      </c>
      <c r="D133" s="17" t="str" cm="1">
        <f t="array" aca="1" ref="D133" ca="1">_xlfn.IFS($B133="west",NOW(),$B133="east","          -",$B133="south","          -",$B133="central","          -",$B133="north","          -")</f>
        <v xml:space="preserve">          -</v>
      </c>
    </row>
    <row r="134" spans="1:4" ht="15" thickBot="1" x14ac:dyDescent="0.4">
      <c r="A134" s="31" t="s">
        <v>37</v>
      </c>
      <c r="B134" s="26" t="s">
        <v>20</v>
      </c>
      <c r="C134" s="24">
        <v>45622</v>
      </c>
      <c r="D134" s="17" t="str" cm="1">
        <f t="array" aca="1" ref="D134" ca="1">_xlfn.IFS($B134="west",NOW(),$B134="east","          -",$B134="south","          -",$B134="central","          -",$B134="north","          -")</f>
        <v xml:space="preserve">          -</v>
      </c>
    </row>
    <row r="135" spans="1:4" ht="15" thickBot="1" x14ac:dyDescent="0.4">
      <c r="A135" s="4" t="s">
        <v>75</v>
      </c>
      <c r="B135" s="1" t="s">
        <v>20</v>
      </c>
      <c r="C135" s="3">
        <v>45624</v>
      </c>
      <c r="D135" s="17" t="str" cm="1">
        <f t="array" aca="1" ref="D135" ca="1">_xlfn.IFS($B135="west",NOW(),$B135="east","          -",$B135="south","          -",$B135="central","          -",$B135="north","          -")</f>
        <v xml:space="preserve">          -</v>
      </c>
    </row>
    <row r="136" spans="1:4" ht="15" thickBot="1" x14ac:dyDescent="0.4">
      <c r="A136" s="31" t="s">
        <v>28</v>
      </c>
      <c r="B136" s="26" t="s">
        <v>11</v>
      </c>
      <c r="C136" s="24">
        <v>45625</v>
      </c>
      <c r="D136" s="17" cm="1">
        <f t="array" aca="1" ref="D136" ca="1">_xlfn.IFS($B136="west",NOW(),$B136="east","          -",$B136="south","          -",$B136="central","          -",$B136="north","          -")</f>
        <v>45979.974955902777</v>
      </c>
    </row>
    <row r="137" spans="1:4" ht="15" thickBot="1" x14ac:dyDescent="0.4">
      <c r="A137" s="4" t="s">
        <v>25</v>
      </c>
      <c r="B137" s="1" t="s">
        <v>24</v>
      </c>
      <c r="C137" s="3">
        <v>45626</v>
      </c>
      <c r="D137" s="17" t="str" cm="1">
        <f t="array" aca="1" ref="D137" ca="1">_xlfn.IFS($B137="west",NOW(),$B137="east","          -",$B137="south","          -",$B137="central","          -",$B137="north","          -")</f>
        <v xml:space="preserve">          -</v>
      </c>
    </row>
    <row r="138" spans="1:4" ht="15" thickBot="1" x14ac:dyDescent="0.4">
      <c r="A138" s="31" t="s">
        <v>58</v>
      </c>
      <c r="B138" s="26" t="s">
        <v>11</v>
      </c>
      <c r="C138" s="24">
        <v>45630</v>
      </c>
      <c r="D138" s="17" cm="1">
        <f t="array" aca="1" ref="D138" ca="1">_xlfn.IFS($B138="west",NOW(),$B138="east","          -",$B138="south","          -",$B138="central","          -",$B138="north","          -")</f>
        <v>45979.974955902777</v>
      </c>
    </row>
    <row r="139" spans="1:4" ht="15" thickBot="1" x14ac:dyDescent="0.4">
      <c r="A139" s="4" t="s">
        <v>58</v>
      </c>
      <c r="B139" s="1" t="s">
        <v>34</v>
      </c>
      <c r="C139" s="3">
        <v>45631</v>
      </c>
      <c r="D139" s="17" t="str" cm="1">
        <f t="array" aca="1" ref="D139" ca="1">_xlfn.IFS($B139="west",NOW(),$B139="east","          -",$B139="south","          -",$B139="central","          -",$B139="north","          -")</f>
        <v xml:space="preserve">          -</v>
      </c>
    </row>
    <row r="140" spans="1:4" ht="15" thickBot="1" x14ac:dyDescent="0.4">
      <c r="A140" s="31" t="s">
        <v>65</v>
      </c>
      <c r="B140" s="26" t="s">
        <v>20</v>
      </c>
      <c r="C140" s="24">
        <v>45638</v>
      </c>
      <c r="D140" s="17" t="str" cm="1">
        <f t="array" aca="1" ref="D140" ca="1">_xlfn.IFS($B140="west",NOW(),$B140="east","          -",$B140="south","          -",$B140="central","          -",$B140="north","          -")</f>
        <v xml:space="preserve">          -</v>
      </c>
    </row>
    <row r="141" spans="1:4" ht="15" thickBot="1" x14ac:dyDescent="0.4">
      <c r="A141" s="4" t="s">
        <v>28</v>
      </c>
      <c r="B141" s="1" t="s">
        <v>34</v>
      </c>
      <c r="C141" s="3">
        <v>45640</v>
      </c>
      <c r="D141" s="17" t="str" cm="1">
        <f t="array" aca="1" ref="D141" ca="1">_xlfn.IFS($B141="west",NOW(),$B141="east","          -",$B141="south","          -",$B141="central","          -",$B141="north","          -")</f>
        <v xml:space="preserve">          -</v>
      </c>
    </row>
    <row r="142" spans="1:4" ht="15" thickBot="1" x14ac:dyDescent="0.4">
      <c r="A142" s="31" t="s">
        <v>74</v>
      </c>
      <c r="B142" s="26" t="s">
        <v>34</v>
      </c>
      <c r="C142" s="24">
        <v>45640</v>
      </c>
      <c r="D142" s="17" t="str" cm="1">
        <f t="array" aca="1" ref="D142" ca="1">_xlfn.IFS($B142="west",NOW(),$B142="east","          -",$B142="south","          -",$B142="central","          -",$B142="north","          -")</f>
        <v xml:space="preserve">          -</v>
      </c>
    </row>
    <row r="143" spans="1:4" ht="15" thickBot="1" x14ac:dyDescent="0.4">
      <c r="A143" s="4" t="s">
        <v>30</v>
      </c>
      <c r="B143" s="1" t="s">
        <v>18</v>
      </c>
      <c r="C143" s="3">
        <v>45646</v>
      </c>
      <c r="D143" s="17" t="str" cm="1">
        <f t="array" aca="1" ref="D143" ca="1">_xlfn.IFS($B143="west",NOW(),$B143="east","          -",$B143="south","          -",$B143="central","          -",$B143="north","          -")</f>
        <v xml:space="preserve">          -</v>
      </c>
    </row>
    <row r="144" spans="1:4" ht="15" thickBot="1" x14ac:dyDescent="0.4">
      <c r="A144" s="31" t="s">
        <v>30</v>
      </c>
      <c r="B144" s="26" t="s">
        <v>11</v>
      </c>
      <c r="C144" s="24">
        <v>45647</v>
      </c>
      <c r="D144" s="17" cm="1">
        <f t="array" aca="1" ref="D144" ca="1">_xlfn.IFS($B144="west",NOW(),$B144="east","          -",$B144="south","          -",$B144="central","          -",$B144="north","          -")</f>
        <v>45979.974955902777</v>
      </c>
    </row>
    <row r="145" spans="1:4" ht="15" thickBot="1" x14ac:dyDescent="0.4">
      <c r="A145" s="4" t="s">
        <v>49</v>
      </c>
      <c r="B145" s="1" t="s">
        <v>34</v>
      </c>
      <c r="C145" s="3">
        <v>45650</v>
      </c>
      <c r="D145" s="17" t="str" cm="1">
        <f t="array" aca="1" ref="D145" ca="1">_xlfn.IFS($B145="west",NOW(),$B145="east","          -",$B145="south","          -",$B145="central","          -",$B145="north","          -")</f>
        <v xml:space="preserve">          -</v>
      </c>
    </row>
    <row r="146" spans="1:4" ht="15" thickBot="1" x14ac:dyDescent="0.4">
      <c r="A146" s="31" t="s">
        <v>72</v>
      </c>
      <c r="B146" s="26" t="s">
        <v>24</v>
      </c>
      <c r="C146" s="24">
        <v>45651</v>
      </c>
      <c r="D146" s="17" t="str" cm="1">
        <f t="array" aca="1" ref="D146" ca="1">_xlfn.IFS($B146="west",NOW(),$B146="east","          -",$B146="south","          -",$B146="central","          -",$B146="north","          -")</f>
        <v xml:space="preserve">          -</v>
      </c>
    </row>
    <row r="147" spans="1:4" ht="15" thickBot="1" x14ac:dyDescent="0.4">
      <c r="A147" s="4" t="s">
        <v>28</v>
      </c>
      <c r="B147" s="1" t="s">
        <v>24</v>
      </c>
      <c r="C147" s="3">
        <v>45651</v>
      </c>
      <c r="D147" s="17" t="str" cm="1">
        <f t="array" aca="1" ref="D147" ca="1">_xlfn.IFS($B147="west",NOW(),$B147="east","          -",$B147="south","          -",$B147="central","          -",$B147="north","          -")</f>
        <v xml:space="preserve">          -</v>
      </c>
    </row>
    <row r="148" spans="1:4" ht="15" thickBot="1" x14ac:dyDescent="0.4">
      <c r="A148" s="31" t="s">
        <v>49</v>
      </c>
      <c r="B148" s="26" t="s">
        <v>11</v>
      </c>
      <c r="C148" s="24">
        <v>45656</v>
      </c>
      <c r="D148" s="17" cm="1">
        <f t="array" aca="1" ref="D148" ca="1">_xlfn.IFS($B148="west",NOW(),$B148="east","          -",$B148="south","          -",$B148="central","          -",$B148="north","          -")</f>
        <v>45979.974955902777</v>
      </c>
    </row>
    <row r="149" spans="1:4" ht="15" thickBot="1" x14ac:dyDescent="0.4">
      <c r="A149" s="4" t="s">
        <v>63</v>
      </c>
      <c r="B149" s="1" t="s">
        <v>34</v>
      </c>
      <c r="C149" s="3">
        <v>45658</v>
      </c>
      <c r="D149" s="17" t="str" cm="1">
        <f t="array" aca="1" ref="D149" ca="1">_xlfn.IFS($B149="west",NOW(),$B149="east","          -",$B149="south","          -",$B149="central","          -",$B149="north","          -")</f>
        <v xml:space="preserve">          -</v>
      </c>
    </row>
    <row r="150" spans="1:4" ht="15" thickBot="1" x14ac:dyDescent="0.4">
      <c r="A150" s="31" t="s">
        <v>52</v>
      </c>
      <c r="B150" s="26" t="s">
        <v>24</v>
      </c>
      <c r="C150" s="24">
        <v>45658</v>
      </c>
      <c r="D150" s="17" t="str" cm="1">
        <f t="array" aca="1" ref="D150" ca="1">_xlfn.IFS($B150="west",NOW(),$B150="east","          -",$B150="south","          -",$B150="central","          -",$B150="north","          -")</f>
        <v xml:space="preserve">          -</v>
      </c>
    </row>
    <row r="151" spans="1:4" ht="15" thickBot="1" x14ac:dyDescent="0.4">
      <c r="A151" s="4" t="s">
        <v>63</v>
      </c>
      <c r="B151" s="1" t="s">
        <v>24</v>
      </c>
      <c r="C151" s="3">
        <v>45659</v>
      </c>
      <c r="D151" s="17" t="str" cm="1">
        <f t="array" aca="1" ref="D151" ca="1">_xlfn.IFS($B151="west",NOW(),$B151="east","          -",$B151="south","          -",$B151="central","          -",$B151="north","          -")</f>
        <v xml:space="preserve">          -</v>
      </c>
    </row>
    <row r="152" spans="1:4" ht="15" thickBot="1" x14ac:dyDescent="0.4">
      <c r="A152" s="31" t="s">
        <v>52</v>
      </c>
      <c r="B152" s="26" t="s">
        <v>34</v>
      </c>
      <c r="C152" s="24">
        <v>45660</v>
      </c>
      <c r="D152" s="17" t="str" cm="1">
        <f t="array" aca="1" ref="D152" ca="1">_xlfn.IFS($B152="west",NOW(),$B152="east","          -",$B152="south","          -",$B152="central","          -",$B152="north","          -")</f>
        <v xml:space="preserve">          -</v>
      </c>
    </row>
    <row r="153" spans="1:4" ht="15" thickBot="1" x14ac:dyDescent="0.4">
      <c r="A153" s="4" t="s">
        <v>60</v>
      </c>
      <c r="B153" s="1" t="s">
        <v>20</v>
      </c>
      <c r="C153" s="3">
        <v>45660</v>
      </c>
      <c r="D153" s="17" t="str" cm="1">
        <f t="array" aca="1" ref="D153" ca="1">_xlfn.IFS($B153="west",NOW(),$B153="east","          -",$B153="south","          -",$B153="central","          -",$B153="north","          -")</f>
        <v xml:space="preserve">          -</v>
      </c>
    </row>
    <row r="154" spans="1:4" ht="15" thickBot="1" x14ac:dyDescent="0.4">
      <c r="A154" s="31" t="s">
        <v>35</v>
      </c>
      <c r="B154" s="26" t="s">
        <v>11</v>
      </c>
      <c r="C154" s="24">
        <v>45663</v>
      </c>
      <c r="D154" s="17" cm="1">
        <f t="array" aca="1" ref="D154" ca="1">_xlfn.IFS($B154="west",NOW(),$B154="east","          -",$B154="south","          -",$B154="central","          -",$B154="north","          -")</f>
        <v>45979.974955902777</v>
      </c>
    </row>
    <row r="155" spans="1:4" ht="15" thickBot="1" x14ac:dyDescent="0.4">
      <c r="A155" s="4" t="s">
        <v>73</v>
      </c>
      <c r="B155" s="1" t="s">
        <v>24</v>
      </c>
      <c r="C155" s="3">
        <v>45667</v>
      </c>
      <c r="D155" s="17" t="str" cm="1">
        <f t="array" aca="1" ref="D155" ca="1">_xlfn.IFS($B155="west",NOW(),$B155="east","          -",$B155="south","          -",$B155="central","          -",$B155="north","          -")</f>
        <v xml:space="preserve">          -</v>
      </c>
    </row>
    <row r="156" spans="1:4" ht="15" thickBot="1" x14ac:dyDescent="0.4">
      <c r="A156" s="31" t="s">
        <v>58</v>
      </c>
      <c r="B156" s="26" t="s">
        <v>20</v>
      </c>
      <c r="C156" s="24">
        <v>45669</v>
      </c>
      <c r="D156" s="17" t="str" cm="1">
        <f t="array" aca="1" ref="D156" ca="1">_xlfn.IFS($B156="west",NOW(),$B156="east","          -",$B156="south","          -",$B156="central","          -",$B156="north","          -")</f>
        <v xml:space="preserve">          -</v>
      </c>
    </row>
    <row r="157" spans="1:4" ht="15" thickBot="1" x14ac:dyDescent="0.4">
      <c r="A157" s="4" t="s">
        <v>58</v>
      </c>
      <c r="B157" s="1" t="s">
        <v>24</v>
      </c>
      <c r="C157" s="3">
        <v>45670</v>
      </c>
      <c r="D157" s="17" t="str" cm="1">
        <f t="array" aca="1" ref="D157" ca="1">_xlfn.IFS($B157="west",NOW(),$B157="east","          -",$B157="south","          -",$B157="central","          -",$B157="north","          -")</f>
        <v xml:space="preserve">          -</v>
      </c>
    </row>
    <row r="158" spans="1:4" ht="15" thickBot="1" x14ac:dyDescent="0.4">
      <c r="A158" s="31" t="s">
        <v>58</v>
      </c>
      <c r="B158" s="26" t="s">
        <v>11</v>
      </c>
      <c r="C158" s="24">
        <v>45673</v>
      </c>
      <c r="D158" s="17" cm="1">
        <f t="array" aca="1" ref="D158" ca="1">_xlfn.IFS($B158="west",NOW(),$B158="east","          -",$B158="south","          -",$B158="central","          -",$B158="north","          -")</f>
        <v>45979.974955902777</v>
      </c>
    </row>
    <row r="159" spans="1:4" ht="15" thickBot="1" x14ac:dyDescent="0.4">
      <c r="A159" s="4" t="s">
        <v>44</v>
      </c>
      <c r="B159" s="1" t="s">
        <v>34</v>
      </c>
      <c r="C159" s="3">
        <v>45674</v>
      </c>
      <c r="D159" s="17" t="str" cm="1">
        <f t="array" aca="1" ref="D159" ca="1">_xlfn.IFS($B159="west",NOW(),$B159="east","          -",$B159="south","          -",$B159="central","          -",$B159="north","          -")</f>
        <v xml:space="preserve">          -</v>
      </c>
    </row>
    <row r="160" spans="1:4" ht="15" thickBot="1" x14ac:dyDescent="0.4">
      <c r="A160" s="31" t="s">
        <v>44</v>
      </c>
      <c r="B160" s="26" t="s">
        <v>34</v>
      </c>
      <c r="C160" s="24">
        <v>45674</v>
      </c>
      <c r="D160" s="17" t="str" cm="1">
        <f t="array" aca="1" ref="D160" ca="1">_xlfn.IFS($B160="west",NOW(),$B160="east","          -",$B160="south","          -",$B160="central","          -",$B160="north","          -")</f>
        <v xml:space="preserve">          -</v>
      </c>
    </row>
    <row r="161" spans="1:4" ht="15" thickBot="1" x14ac:dyDescent="0.4">
      <c r="A161" s="4" t="s">
        <v>40</v>
      </c>
      <c r="B161" s="1" t="s">
        <v>20</v>
      </c>
      <c r="C161" s="3">
        <v>45674</v>
      </c>
      <c r="D161" s="17" t="str" cm="1">
        <f t="array" aca="1" ref="D161" ca="1">_xlfn.IFS($B161="west",NOW(),$B161="east","          -",$B161="south","          -",$B161="central","          -",$B161="north","          -")</f>
        <v xml:space="preserve">          -</v>
      </c>
    </row>
    <row r="162" spans="1:4" ht="15" thickBot="1" x14ac:dyDescent="0.4">
      <c r="A162" s="31" t="s">
        <v>70</v>
      </c>
      <c r="B162" s="26" t="s">
        <v>24</v>
      </c>
      <c r="C162" s="24">
        <v>45677</v>
      </c>
      <c r="D162" s="17" t="str" cm="1">
        <f t="array" aca="1" ref="D162" ca="1">_xlfn.IFS($B162="west",NOW(),$B162="east","          -",$B162="south","          -",$B162="central","          -",$B162="north","          -")</f>
        <v xml:space="preserve">          -</v>
      </c>
    </row>
    <row r="163" spans="1:4" ht="15" thickBot="1" x14ac:dyDescent="0.4">
      <c r="A163" s="4" t="s">
        <v>75</v>
      </c>
      <c r="B163" s="1" t="s">
        <v>24</v>
      </c>
      <c r="C163" s="3">
        <v>45678</v>
      </c>
      <c r="D163" s="17" t="str" cm="1">
        <f t="array" aca="1" ref="D163" ca="1">_xlfn.IFS($B163="west",NOW(),$B163="east","          -",$B163="south","          -",$B163="central","          -",$B163="north","          -")</f>
        <v xml:space="preserve">          -</v>
      </c>
    </row>
    <row r="164" spans="1:4" ht="15" thickBot="1" x14ac:dyDescent="0.4">
      <c r="A164" s="31" t="s">
        <v>22</v>
      </c>
      <c r="B164" s="26" t="s">
        <v>11</v>
      </c>
      <c r="C164" s="24">
        <v>45684</v>
      </c>
      <c r="D164" s="17" cm="1">
        <f t="array" aca="1" ref="D164" ca="1">_xlfn.IFS($B164="west",NOW(),$B164="east","          -",$B164="south","          -",$B164="central","          -",$B164="north","          -")</f>
        <v>45979.974955902777</v>
      </c>
    </row>
    <row r="165" spans="1:4" ht="15" thickBot="1" x14ac:dyDescent="0.4">
      <c r="A165" s="4" t="s">
        <v>22</v>
      </c>
      <c r="B165" s="1" t="s">
        <v>18</v>
      </c>
      <c r="C165" s="3">
        <v>45690</v>
      </c>
      <c r="D165" s="17" t="str" cm="1">
        <f t="array" aca="1" ref="D165" ca="1">_xlfn.IFS($B165="west",NOW(),$B165="east","          -",$B165="south","          -",$B165="central","          -",$B165="north","          -")</f>
        <v xml:space="preserve">          -</v>
      </c>
    </row>
    <row r="166" spans="1:4" ht="15" thickBot="1" x14ac:dyDescent="0.4">
      <c r="A166" s="31" t="s">
        <v>58</v>
      </c>
      <c r="B166" s="26" t="s">
        <v>18</v>
      </c>
      <c r="C166" s="24">
        <v>45692</v>
      </c>
      <c r="D166" s="17" t="str" cm="1">
        <f t="array" aca="1" ref="D166" ca="1">_xlfn.IFS($B166="west",NOW(),$B166="east","          -",$B166="south","          -",$B166="central","          -",$B166="north","          -")</f>
        <v xml:space="preserve">          -</v>
      </c>
    </row>
    <row r="167" spans="1:4" ht="15" thickBot="1" x14ac:dyDescent="0.4">
      <c r="A167" s="4" t="s">
        <v>65</v>
      </c>
      <c r="B167" s="1" t="s">
        <v>11</v>
      </c>
      <c r="C167" s="3">
        <v>45693</v>
      </c>
      <c r="D167" s="17" cm="1">
        <f t="array" aca="1" ref="D167" ca="1">_xlfn.IFS($B167="west",NOW(),$B167="east","          -",$B167="south","          -",$B167="central","          -",$B167="north","          -")</f>
        <v>45979.974955902777</v>
      </c>
    </row>
    <row r="168" spans="1:4" ht="15" thickBot="1" x14ac:dyDescent="0.4">
      <c r="A168" s="31" t="s">
        <v>70</v>
      </c>
      <c r="B168" s="26" t="s">
        <v>34</v>
      </c>
      <c r="C168" s="24">
        <v>45695</v>
      </c>
      <c r="D168" s="17" t="str" cm="1">
        <f t="array" aca="1" ref="D168" ca="1">_xlfn.IFS($B168="west",NOW(),$B168="east","          -",$B168="south","          -",$B168="central","          -",$B168="north","          -")</f>
        <v xml:space="preserve">          -</v>
      </c>
    </row>
    <row r="169" spans="1:4" ht="15" thickBot="1" x14ac:dyDescent="0.4">
      <c r="A169" s="4" t="s">
        <v>72</v>
      </c>
      <c r="B169" s="1" t="s">
        <v>18</v>
      </c>
      <c r="C169" s="3">
        <v>45698</v>
      </c>
      <c r="D169" s="17" t="str" cm="1">
        <f t="array" aca="1" ref="D169" ca="1">_xlfn.IFS($B169="west",NOW(),$B169="east","          -",$B169="south","          -",$B169="central","          -",$B169="north","          -")</f>
        <v xml:space="preserve">          -</v>
      </c>
    </row>
    <row r="170" spans="1:4" ht="15" thickBot="1" x14ac:dyDescent="0.4">
      <c r="A170" s="31" t="s">
        <v>72</v>
      </c>
      <c r="B170" s="26" t="s">
        <v>20</v>
      </c>
      <c r="C170" s="24">
        <v>45703</v>
      </c>
      <c r="D170" s="17" t="str" cm="1">
        <f t="array" aca="1" ref="D170" ca="1">_xlfn.IFS($B170="west",NOW(),$B170="east","          -",$B170="south","          -",$B170="central","          -",$B170="north","          -")</f>
        <v xml:space="preserve">          -</v>
      </c>
    </row>
    <row r="171" spans="1:4" ht="15" thickBot="1" x14ac:dyDescent="0.4">
      <c r="A171" s="4" t="s">
        <v>52</v>
      </c>
      <c r="B171" s="1" t="s">
        <v>11</v>
      </c>
      <c r="C171" s="3">
        <v>45705</v>
      </c>
      <c r="D171" s="17" cm="1">
        <f t="array" aca="1" ref="D171" ca="1">_xlfn.IFS($B171="west",NOW(),$B171="east","          -",$B171="south","          -",$B171="central","          -",$B171="north","          -")</f>
        <v>45979.974955902777</v>
      </c>
    </row>
    <row r="172" spans="1:4" ht="15" thickBot="1" x14ac:dyDescent="0.4">
      <c r="A172" s="31" t="s">
        <v>13</v>
      </c>
      <c r="B172" s="26" t="s">
        <v>24</v>
      </c>
      <c r="C172" s="24">
        <v>45707</v>
      </c>
      <c r="D172" s="17" t="str" cm="1">
        <f t="array" aca="1" ref="D172" ca="1">_xlfn.IFS($B172="west",NOW(),$B172="east","          -",$B172="south","          -",$B172="central","          -",$B172="north","          -")</f>
        <v xml:space="preserve">          -</v>
      </c>
    </row>
    <row r="173" spans="1:4" ht="15" thickBot="1" x14ac:dyDescent="0.4">
      <c r="A173" s="4" t="s">
        <v>30</v>
      </c>
      <c r="B173" s="1" t="s">
        <v>11</v>
      </c>
      <c r="C173" s="3">
        <v>45708</v>
      </c>
      <c r="D173" s="17" cm="1">
        <f t="array" aca="1" ref="D173" ca="1">_xlfn.IFS($B173="west",NOW(),$B173="east","          -",$B173="south","          -",$B173="central","          -",$B173="north","          -")</f>
        <v>45979.974955902777</v>
      </c>
    </row>
    <row r="174" spans="1:4" ht="15" thickBot="1" x14ac:dyDescent="0.4">
      <c r="A174" s="31" t="s">
        <v>32</v>
      </c>
      <c r="B174" s="26" t="s">
        <v>24</v>
      </c>
      <c r="C174" s="24">
        <v>45709</v>
      </c>
      <c r="D174" s="17" t="str" cm="1">
        <f t="array" aca="1" ref="D174" ca="1">_xlfn.IFS($B174="west",NOW(),$B174="east","          -",$B174="south","          -",$B174="central","          -",$B174="north","          -")</f>
        <v xml:space="preserve">          -</v>
      </c>
    </row>
    <row r="175" spans="1:4" ht="15" thickBot="1" x14ac:dyDescent="0.4">
      <c r="A175" s="4" t="s">
        <v>67</v>
      </c>
      <c r="B175" s="1" t="s">
        <v>20</v>
      </c>
      <c r="C175" s="3">
        <v>45712</v>
      </c>
      <c r="D175" s="17" t="str" cm="1">
        <f t="array" aca="1" ref="D175" ca="1">_xlfn.IFS($B175="west",NOW(),$B175="east","          -",$B175="south","          -",$B175="central","          -",$B175="north","          -")</f>
        <v xml:space="preserve">          -</v>
      </c>
    </row>
    <row r="176" spans="1:4" ht="15" thickBot="1" x14ac:dyDescent="0.4">
      <c r="A176" s="31" t="s">
        <v>65</v>
      </c>
      <c r="B176" s="26" t="s">
        <v>34</v>
      </c>
      <c r="C176" s="24">
        <v>45712</v>
      </c>
      <c r="D176" s="17" t="str" cm="1">
        <f t="array" aca="1" ref="D176" ca="1">_xlfn.IFS($B176="west",NOW(),$B176="east","          -",$B176="south","          -",$B176="central","          -",$B176="north","          -")</f>
        <v xml:space="preserve">          -</v>
      </c>
    </row>
    <row r="177" spans="1:4" ht="15" thickBot="1" x14ac:dyDescent="0.4">
      <c r="A177" s="4" t="s">
        <v>73</v>
      </c>
      <c r="B177" s="1" t="s">
        <v>34</v>
      </c>
      <c r="C177" s="3">
        <v>45713</v>
      </c>
      <c r="D177" s="17" t="str" cm="1">
        <f t="array" aca="1" ref="D177" ca="1">_xlfn.IFS($B177="west",NOW(),$B177="east","          -",$B177="south","          -",$B177="central","          -",$B177="north","          -")</f>
        <v xml:space="preserve">          -</v>
      </c>
    </row>
    <row r="178" spans="1:4" ht="15" thickBot="1" x14ac:dyDescent="0.4">
      <c r="A178" s="31" t="s">
        <v>75</v>
      </c>
      <c r="B178" s="26" t="s">
        <v>34</v>
      </c>
      <c r="C178" s="24">
        <v>45715</v>
      </c>
      <c r="D178" s="17" t="str" cm="1">
        <f t="array" aca="1" ref="D178" ca="1">_xlfn.IFS($B178="west",NOW(),$B178="east","          -",$B178="south","          -",$B178="central","          -",$B178="north","          -")</f>
        <v xml:space="preserve">          -</v>
      </c>
    </row>
    <row r="179" spans="1:4" ht="15" thickBot="1" x14ac:dyDescent="0.4">
      <c r="A179" s="4" t="s">
        <v>16</v>
      </c>
      <c r="B179" s="1" t="s">
        <v>34</v>
      </c>
      <c r="C179" s="3">
        <v>45717</v>
      </c>
      <c r="D179" s="17" t="str" cm="1">
        <f t="array" aca="1" ref="D179" ca="1">_xlfn.IFS($B179="west",NOW(),$B179="east","          -",$B179="south","          -",$B179="central","          -",$B179="north","          -")</f>
        <v xml:space="preserve">          -</v>
      </c>
    </row>
    <row r="180" spans="1:4" ht="15" thickBot="1" x14ac:dyDescent="0.4">
      <c r="A180" s="31" t="s">
        <v>72</v>
      </c>
      <c r="B180" s="26" t="s">
        <v>18</v>
      </c>
      <c r="C180" s="24">
        <v>45718</v>
      </c>
      <c r="D180" s="17" t="str" cm="1">
        <f t="array" aca="1" ref="D180" ca="1">_xlfn.IFS($B180="west",NOW(),$B180="east","          -",$B180="south","          -",$B180="central","          -",$B180="north","          -")</f>
        <v xml:space="preserve">          -</v>
      </c>
    </row>
    <row r="181" spans="1:4" ht="15" thickBot="1" x14ac:dyDescent="0.4">
      <c r="A181" s="4" t="s">
        <v>52</v>
      </c>
      <c r="B181" s="1" t="s">
        <v>24</v>
      </c>
      <c r="C181" s="3">
        <v>45721</v>
      </c>
      <c r="D181" s="17" t="str" cm="1">
        <f t="array" aca="1" ref="D181" ca="1">_xlfn.IFS($B181="west",NOW(),$B181="east","          -",$B181="south","          -",$B181="central","          -",$B181="north","          -")</f>
        <v xml:space="preserve">          -</v>
      </c>
    </row>
    <row r="182" spans="1:4" ht="15" thickBot="1" x14ac:dyDescent="0.4">
      <c r="A182" s="31" t="s">
        <v>52</v>
      </c>
      <c r="B182" s="26" t="s">
        <v>24</v>
      </c>
      <c r="C182" s="24">
        <v>45724</v>
      </c>
      <c r="D182" s="17" t="str" cm="1">
        <f t="array" aca="1" ref="D182" ca="1">_xlfn.IFS($B182="west",NOW(),$B182="east","          -",$B182="south","          -",$B182="central","          -",$B182="north","          -")</f>
        <v xml:space="preserve">          -</v>
      </c>
    </row>
    <row r="183" spans="1:4" ht="15" thickBot="1" x14ac:dyDescent="0.4">
      <c r="A183" s="4" t="s">
        <v>37</v>
      </c>
      <c r="B183" s="1" t="s">
        <v>20</v>
      </c>
      <c r="C183" s="3">
        <v>45725</v>
      </c>
      <c r="D183" s="17" t="str" cm="1">
        <f t="array" aca="1" ref="D183" ca="1">_xlfn.IFS($B183="west",NOW(),$B183="east","          -",$B183="south","          -",$B183="central","          -",$B183="north","          -")</f>
        <v xml:space="preserve">          -</v>
      </c>
    </row>
    <row r="184" spans="1:4" ht="15" thickBot="1" x14ac:dyDescent="0.4">
      <c r="A184" s="31" t="s">
        <v>67</v>
      </c>
      <c r="B184" s="26" t="s">
        <v>18</v>
      </c>
      <c r="C184" s="24">
        <v>45726</v>
      </c>
      <c r="D184" s="17" t="str" cm="1">
        <f t="array" aca="1" ref="D184" ca="1">_xlfn.IFS($B184="west",NOW(),$B184="east","          -",$B184="south","          -",$B184="central","          -",$B184="north","          -")</f>
        <v xml:space="preserve">          -</v>
      </c>
    </row>
    <row r="185" spans="1:4" ht="15" thickBot="1" x14ac:dyDescent="0.4">
      <c r="A185" s="4" t="s">
        <v>41</v>
      </c>
      <c r="B185" s="1" t="s">
        <v>11</v>
      </c>
      <c r="C185" s="3">
        <v>45727</v>
      </c>
      <c r="D185" s="17" cm="1">
        <f t="array" aca="1" ref="D185" ca="1">_xlfn.IFS($B185="west",NOW(),$B185="east","          -",$B185="south","          -",$B185="central","          -",$B185="north","          -")</f>
        <v>45979.974955902777</v>
      </c>
    </row>
    <row r="186" spans="1:4" ht="15" thickBot="1" x14ac:dyDescent="0.4">
      <c r="A186" s="31" t="s">
        <v>57</v>
      </c>
      <c r="B186" s="26" t="s">
        <v>11</v>
      </c>
      <c r="C186" s="24">
        <v>45733</v>
      </c>
      <c r="D186" s="17" cm="1">
        <f t="array" aca="1" ref="D186" ca="1">_xlfn.IFS($B186="west",NOW(),$B186="east","          -",$B186="south","          -",$B186="central","          -",$B186="north","          -")</f>
        <v>45979.974955902777</v>
      </c>
    </row>
    <row r="187" spans="1:4" ht="15" thickBot="1" x14ac:dyDescent="0.4">
      <c r="A187" s="4" t="s">
        <v>25</v>
      </c>
      <c r="B187" s="1" t="s">
        <v>11</v>
      </c>
      <c r="C187" s="3">
        <v>45734</v>
      </c>
      <c r="D187" s="17" cm="1">
        <f t="array" aca="1" ref="D187" ca="1">_xlfn.IFS($B187="west",NOW(),$B187="east","          -",$B187="south","          -",$B187="central","          -",$B187="north","          -")</f>
        <v>45979.974955902777</v>
      </c>
    </row>
    <row r="188" spans="1:4" ht="15" thickBot="1" x14ac:dyDescent="0.4">
      <c r="A188" s="31" t="s">
        <v>32</v>
      </c>
      <c r="B188" s="26" t="s">
        <v>20</v>
      </c>
      <c r="C188" s="24">
        <v>45736</v>
      </c>
      <c r="D188" s="17" t="str" cm="1">
        <f t="array" aca="1" ref="D188" ca="1">_xlfn.IFS($B188="west",NOW(),$B188="east","          -",$B188="south","          -",$B188="central","          -",$B188="north","          -")</f>
        <v xml:space="preserve">          -</v>
      </c>
    </row>
    <row r="189" spans="1:4" ht="15" thickBot="1" x14ac:dyDescent="0.4">
      <c r="A189" s="4" t="s">
        <v>40</v>
      </c>
      <c r="B189" s="1" t="s">
        <v>20</v>
      </c>
      <c r="C189" s="3">
        <v>45738</v>
      </c>
      <c r="D189" s="17" t="str" cm="1">
        <f t="array" aca="1" ref="D189" ca="1">_xlfn.IFS($B189="west",NOW(),$B189="east","          -",$B189="south","          -",$B189="central","          -",$B189="north","          -")</f>
        <v xml:space="preserve">          -</v>
      </c>
    </row>
    <row r="190" spans="1:4" ht="15" thickBot="1" x14ac:dyDescent="0.4">
      <c r="A190" s="31" t="s">
        <v>41</v>
      </c>
      <c r="B190" s="26" t="s">
        <v>24</v>
      </c>
      <c r="C190" s="24">
        <v>45741</v>
      </c>
      <c r="D190" s="17" t="str" cm="1">
        <f t="array" aca="1" ref="D190" ca="1">_xlfn.IFS($B190="west",NOW(),$B190="east","          -",$B190="south","          -",$B190="central","          -",$B190="north","          -")</f>
        <v xml:space="preserve">          -</v>
      </c>
    </row>
    <row r="191" spans="1:4" ht="15" thickBot="1" x14ac:dyDescent="0.4">
      <c r="A191" s="4" t="s">
        <v>32</v>
      </c>
      <c r="B191" s="1" t="s">
        <v>20</v>
      </c>
      <c r="C191" s="3">
        <v>45742</v>
      </c>
      <c r="D191" s="17" t="str" cm="1">
        <f t="array" aca="1" ref="D191" ca="1">_xlfn.IFS($B191="west",NOW(),$B191="east","          -",$B191="south","          -",$B191="central","          -",$B191="north","          -")</f>
        <v xml:space="preserve">          -</v>
      </c>
    </row>
    <row r="192" spans="1:4" ht="15" thickBot="1" x14ac:dyDescent="0.4">
      <c r="A192" s="31" t="s">
        <v>25</v>
      </c>
      <c r="B192" s="26" t="s">
        <v>20</v>
      </c>
      <c r="C192" s="24">
        <v>45743</v>
      </c>
      <c r="D192" s="17" t="str" cm="1">
        <f t="array" aca="1" ref="D192" ca="1">_xlfn.IFS($B192="west",NOW(),$B192="east","          -",$B192="south","          -",$B192="central","          -",$B192="north","          -")</f>
        <v xml:space="preserve">          -</v>
      </c>
    </row>
    <row r="193" spans="1:4" ht="15" thickBot="1" x14ac:dyDescent="0.4">
      <c r="A193" s="4" t="s">
        <v>22</v>
      </c>
      <c r="B193" s="1" t="s">
        <v>24</v>
      </c>
      <c r="C193" s="3">
        <v>45743</v>
      </c>
      <c r="D193" s="17" t="str" cm="1">
        <f t="array" aca="1" ref="D193" ca="1">_xlfn.IFS($B193="west",NOW(),$B193="east","          -",$B193="south","          -",$B193="central","          -",$B193="north","          -")</f>
        <v xml:space="preserve">          -</v>
      </c>
    </row>
    <row r="194" spans="1:4" ht="15" thickBot="1" x14ac:dyDescent="0.4">
      <c r="A194" s="31" t="s">
        <v>75</v>
      </c>
      <c r="B194" s="26" t="s">
        <v>34</v>
      </c>
      <c r="C194" s="24">
        <v>45745</v>
      </c>
      <c r="D194" s="17" t="str" cm="1">
        <f t="array" aca="1" ref="D194" ca="1">_xlfn.IFS($B194="west",NOW(),$B194="east","          -",$B194="south","          -",$B194="central","          -",$B194="north","          -")</f>
        <v xml:space="preserve">          -</v>
      </c>
    </row>
    <row r="195" spans="1:4" ht="15" thickBot="1" x14ac:dyDescent="0.4">
      <c r="A195" s="4" t="s">
        <v>44</v>
      </c>
      <c r="B195" s="1" t="s">
        <v>18</v>
      </c>
      <c r="C195" s="3">
        <v>45745</v>
      </c>
      <c r="D195" s="17" t="str" cm="1">
        <f t="array" aca="1" ref="D195" ca="1">_xlfn.IFS($B195="west",NOW(),$B195="east","          -",$B195="south","          -",$B195="central","          -",$B195="north","          -")</f>
        <v xml:space="preserve">          -</v>
      </c>
    </row>
    <row r="196" spans="1:4" ht="15" thickBot="1" x14ac:dyDescent="0.4">
      <c r="A196" s="31" t="s">
        <v>37</v>
      </c>
      <c r="B196" s="26" t="s">
        <v>11</v>
      </c>
      <c r="C196" s="24">
        <v>45746</v>
      </c>
      <c r="D196" s="17" cm="1">
        <f t="array" aca="1" ref="D196" ca="1">_xlfn.IFS($B196="west",NOW(),$B196="east","          -",$B196="south","          -",$B196="central","          -",$B196="north","          -")</f>
        <v>45979.974955902777</v>
      </c>
    </row>
    <row r="197" spans="1:4" ht="15" thickBot="1" x14ac:dyDescent="0.4">
      <c r="A197" s="4" t="s">
        <v>70</v>
      </c>
      <c r="B197" s="1" t="s">
        <v>34</v>
      </c>
      <c r="C197" s="3">
        <v>45746</v>
      </c>
      <c r="D197" s="17" t="str" cm="1">
        <f t="array" aca="1" ref="D197" ca="1">_xlfn.IFS($B197="west",NOW(),$B197="east","          -",$B197="south","          -",$B197="central","          -",$B197="north","          -")</f>
        <v xml:space="preserve">          -</v>
      </c>
    </row>
    <row r="198" spans="1:4" ht="15" thickBot="1" x14ac:dyDescent="0.4">
      <c r="A198" s="31" t="s">
        <v>52</v>
      </c>
      <c r="B198" s="26" t="s">
        <v>20</v>
      </c>
      <c r="C198" s="24">
        <v>45749</v>
      </c>
      <c r="D198" s="17" t="str" cm="1">
        <f t="array" aca="1" ref="D198" ca="1">_xlfn.IFS($B198="west",NOW(),$B198="east","          -",$B198="south","          -",$B198="central","          -",$B198="north","          -")</f>
        <v xml:space="preserve">          -</v>
      </c>
    </row>
    <row r="199" spans="1:4" ht="15" thickBot="1" x14ac:dyDescent="0.4">
      <c r="A199" s="4" t="s">
        <v>58</v>
      </c>
      <c r="B199" s="1" t="s">
        <v>11</v>
      </c>
      <c r="C199" s="3">
        <v>45752</v>
      </c>
      <c r="D199" s="17" cm="1">
        <f t="array" aca="1" ref="D199" ca="1">_xlfn.IFS($B199="west",NOW(),$B199="east","          -",$B199="south","          -",$B199="central","          -",$B199="north","          -")</f>
        <v>45979.974955902777</v>
      </c>
    </row>
    <row r="200" spans="1:4" ht="15" thickBot="1" x14ac:dyDescent="0.4">
      <c r="A200" s="31" t="s">
        <v>35</v>
      </c>
      <c r="B200" s="26" t="s">
        <v>18</v>
      </c>
      <c r="C200" s="24">
        <v>45752</v>
      </c>
      <c r="D200" s="17" t="str" cm="1">
        <f t="array" aca="1" ref="D200" ca="1">_xlfn.IFS($B200="west",NOW(),$B200="east","          -",$B200="south","          -",$B200="central","          -",$B200="north","          -")</f>
        <v xml:space="preserve">          -</v>
      </c>
    </row>
    <row r="201" spans="1:4" ht="15" thickBot="1" x14ac:dyDescent="0.4">
      <c r="A201" s="4" t="s">
        <v>60</v>
      </c>
      <c r="B201" s="1" t="s">
        <v>20</v>
      </c>
      <c r="C201" s="3">
        <v>45754</v>
      </c>
      <c r="D201" s="17" t="str" cm="1">
        <f t="array" aca="1" ref="D201" ca="1">_xlfn.IFS($B201="west",NOW(),$B201="east","          -",$B201="south","          -",$B201="central","          -",$B201="north","          -")</f>
        <v xml:space="preserve">          -</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E090-96CA-4B5E-A64F-15F460D92877}">
  <dimension ref="A1:G29"/>
  <sheetViews>
    <sheetView workbookViewId="0">
      <selection activeCell="E12" sqref="E12"/>
    </sheetView>
  </sheetViews>
  <sheetFormatPr defaultRowHeight="14.5" x14ac:dyDescent="0.35"/>
  <cols>
    <col min="1" max="1" width="15.26953125" bestFit="1" customWidth="1"/>
    <col min="2" max="2" width="11.54296875" bestFit="1" customWidth="1"/>
    <col min="4" max="4" width="15.26953125" bestFit="1" customWidth="1"/>
    <col min="6" max="6" width="12.453125" bestFit="1" customWidth="1"/>
    <col min="7" max="7" width="11.54296875" bestFit="1" customWidth="1"/>
  </cols>
  <sheetData>
    <row r="1" spans="1:7" x14ac:dyDescent="0.35">
      <c r="A1" s="14" t="s">
        <v>76</v>
      </c>
      <c r="B1" t="s">
        <v>78</v>
      </c>
    </row>
    <row r="2" spans="1:7" x14ac:dyDescent="0.35">
      <c r="A2" s="15" t="s">
        <v>71</v>
      </c>
      <c r="B2" s="16">
        <v>5465.71</v>
      </c>
    </row>
    <row r="3" spans="1:7" x14ac:dyDescent="0.35">
      <c r="A3" s="15" t="s">
        <v>55</v>
      </c>
      <c r="B3" s="16">
        <v>11915.829999999998</v>
      </c>
      <c r="D3" s="22" t="s">
        <v>107</v>
      </c>
      <c r="F3" t="s">
        <v>108</v>
      </c>
    </row>
    <row r="4" spans="1:7" x14ac:dyDescent="0.35">
      <c r="A4" s="15" t="s">
        <v>56</v>
      </c>
      <c r="B4" s="16">
        <v>3819.1400000000003</v>
      </c>
      <c r="D4" s="22" t="str">
        <f>INDEX(A2:A28,MATCH(LARGE(B2:B28,1),B2:B28,0))</f>
        <v>James Wilson</v>
      </c>
      <c r="F4" s="14" t="s">
        <v>76</v>
      </c>
      <c r="G4" t="s">
        <v>78</v>
      </c>
    </row>
    <row r="5" spans="1:7" x14ac:dyDescent="0.35">
      <c r="A5" s="15" t="s">
        <v>42</v>
      </c>
      <c r="B5" s="16">
        <v>1672.88</v>
      </c>
      <c r="F5" s="15" t="s">
        <v>25</v>
      </c>
      <c r="G5" s="16">
        <v>9941.8799999999992</v>
      </c>
    </row>
    <row r="6" spans="1:7" x14ac:dyDescent="0.35">
      <c r="A6" s="15" t="s">
        <v>36</v>
      </c>
      <c r="B6" s="16">
        <v>7020.3799999999992</v>
      </c>
      <c r="D6" s="22" t="s">
        <v>106</v>
      </c>
      <c r="F6" s="15" t="s">
        <v>44</v>
      </c>
      <c r="G6" s="16">
        <v>9760.7999999999993</v>
      </c>
    </row>
    <row r="7" spans="1:7" x14ac:dyDescent="0.35">
      <c r="A7" s="15" t="s">
        <v>38</v>
      </c>
      <c r="B7" s="16">
        <v>11398.32</v>
      </c>
      <c r="D7" s="22" t="str" cm="1">
        <f t="array" ref="D7:D27">_xlfn._xlws.FILTER(A2:A28,B2:B28&gt;5000)</f>
        <v>David Anderson</v>
      </c>
      <c r="F7" s="15" t="s">
        <v>58</v>
      </c>
      <c r="G7" s="16">
        <v>11611.060000000001</v>
      </c>
    </row>
    <row r="8" spans="1:7" x14ac:dyDescent="0.35">
      <c r="A8" s="15" t="s">
        <v>66</v>
      </c>
      <c r="B8" s="16">
        <v>5014.96</v>
      </c>
      <c r="D8" s="22" t="str">
        <v>David Brown</v>
      </c>
      <c r="F8" s="15" t="s">
        <v>30</v>
      </c>
      <c r="G8" s="16">
        <v>9371.81</v>
      </c>
    </row>
    <row r="9" spans="1:7" x14ac:dyDescent="0.35">
      <c r="A9" s="15" t="s">
        <v>61</v>
      </c>
      <c r="B9" s="16">
        <v>8543.9699999999993</v>
      </c>
      <c r="D9" s="22" t="str">
        <v>David Thomas</v>
      </c>
      <c r="F9" s="15" t="s">
        <v>52</v>
      </c>
      <c r="G9" s="16">
        <v>10293.870000000001</v>
      </c>
    </row>
    <row r="10" spans="1:7" x14ac:dyDescent="0.35">
      <c r="A10" s="15" t="s">
        <v>10</v>
      </c>
      <c r="B10" s="16">
        <v>6255.7</v>
      </c>
      <c r="D10" s="22" t="str">
        <v>Emma Davis</v>
      </c>
      <c r="F10" s="15" t="s">
        <v>77</v>
      </c>
      <c r="G10" s="16">
        <v>50979.420000000006</v>
      </c>
    </row>
    <row r="11" spans="1:7" x14ac:dyDescent="0.35">
      <c r="A11" s="15" t="s">
        <v>17</v>
      </c>
      <c r="B11" s="16">
        <v>5615.2800000000007</v>
      </c>
      <c r="D11" s="22" t="str">
        <v>Emma Taylor</v>
      </c>
    </row>
    <row r="12" spans="1:7" x14ac:dyDescent="0.35">
      <c r="A12" s="15" t="s">
        <v>23</v>
      </c>
      <c r="B12" s="16">
        <v>20774.739999999998</v>
      </c>
      <c r="D12" s="22" t="str">
        <v>Emma Wilson</v>
      </c>
    </row>
    <row r="13" spans="1:7" x14ac:dyDescent="0.35">
      <c r="A13" s="15" t="s">
        <v>51</v>
      </c>
      <c r="B13" s="16">
        <v>1450.99</v>
      </c>
      <c r="D13" s="22" t="str">
        <v>James Davis</v>
      </c>
    </row>
    <row r="14" spans="1:7" x14ac:dyDescent="0.35">
      <c r="A14" s="15" t="s">
        <v>50</v>
      </c>
      <c r="B14" s="16">
        <v>5801.29</v>
      </c>
      <c r="D14" s="22" t="str">
        <v>James Taylor</v>
      </c>
    </row>
    <row r="15" spans="1:7" x14ac:dyDescent="0.35">
      <c r="A15" s="15" t="s">
        <v>62</v>
      </c>
      <c r="B15" s="16">
        <v>856.7</v>
      </c>
      <c r="D15" s="22" t="str">
        <v>James Wilson</v>
      </c>
    </row>
    <row r="16" spans="1:7" x14ac:dyDescent="0.35">
      <c r="A16" s="15" t="s">
        <v>33</v>
      </c>
      <c r="B16" s="16">
        <v>3968.59</v>
      </c>
      <c r="D16" s="22" t="str">
        <v>Linda Brown</v>
      </c>
    </row>
    <row r="17" spans="1:4" x14ac:dyDescent="0.35">
      <c r="A17" s="15" t="s">
        <v>69</v>
      </c>
      <c r="B17" s="16">
        <v>2304.9</v>
      </c>
      <c r="D17" s="22" t="str">
        <v>Linda Taylor</v>
      </c>
    </row>
    <row r="18" spans="1:4" x14ac:dyDescent="0.35">
      <c r="A18" s="15" t="s">
        <v>53</v>
      </c>
      <c r="B18" s="16">
        <v>7522.77</v>
      </c>
      <c r="D18" s="22" t="str">
        <v>Linda Wilson</v>
      </c>
    </row>
    <row r="19" spans="1:4" x14ac:dyDescent="0.35">
      <c r="A19" s="15" t="s">
        <v>29</v>
      </c>
      <c r="B19" s="16">
        <v>9970.1999999999989</v>
      </c>
      <c r="D19" s="22" t="str">
        <v>Lisa Davis</v>
      </c>
    </row>
    <row r="20" spans="1:4" x14ac:dyDescent="0.35">
      <c r="A20" s="15" t="s">
        <v>48</v>
      </c>
      <c r="B20" s="16">
        <v>8090.12</v>
      </c>
      <c r="D20" s="22" t="str">
        <v>Lisa Thomas</v>
      </c>
    </row>
    <row r="21" spans="1:4" x14ac:dyDescent="0.35">
      <c r="A21" s="15" t="s">
        <v>45</v>
      </c>
      <c r="B21" s="16">
        <v>8635.9500000000007</v>
      </c>
      <c r="D21" s="22" t="str">
        <v>Mary Davis</v>
      </c>
    </row>
    <row r="22" spans="1:4" x14ac:dyDescent="0.35">
      <c r="A22" s="15" t="s">
        <v>31</v>
      </c>
      <c r="B22" s="16">
        <v>17143.289999999997</v>
      </c>
      <c r="D22" s="22" t="str">
        <v>Mary Jackson</v>
      </c>
    </row>
    <row r="23" spans="1:4" x14ac:dyDescent="0.35">
      <c r="A23" s="15" t="s">
        <v>47</v>
      </c>
      <c r="B23" s="16">
        <v>7251.18</v>
      </c>
      <c r="D23" s="22" t="str">
        <v>Mary Wilson</v>
      </c>
    </row>
    <row r="24" spans="1:4" x14ac:dyDescent="0.35">
      <c r="A24" s="15" t="s">
        <v>59</v>
      </c>
      <c r="B24" s="16">
        <v>5443.34</v>
      </c>
      <c r="D24" s="22" t="str">
        <v>Michael Anderson</v>
      </c>
    </row>
    <row r="25" spans="1:4" x14ac:dyDescent="0.35">
      <c r="A25" s="15" t="s">
        <v>26</v>
      </c>
      <c r="B25" s="16">
        <v>7881.9</v>
      </c>
      <c r="D25" s="22" t="str">
        <v>Robert Anderson</v>
      </c>
    </row>
    <row r="26" spans="1:4" x14ac:dyDescent="0.35">
      <c r="A26" s="15" t="s">
        <v>14</v>
      </c>
      <c r="B26" s="16">
        <v>8331.8499999999985</v>
      </c>
      <c r="D26" s="22" t="str">
        <v>Sarah Anderson</v>
      </c>
    </row>
    <row r="27" spans="1:4" x14ac:dyDescent="0.35">
      <c r="A27" s="15" t="s">
        <v>43</v>
      </c>
      <c r="B27" s="16">
        <v>7296.1900000000005</v>
      </c>
      <c r="D27" s="22" t="str">
        <v>Sarah Davis</v>
      </c>
    </row>
    <row r="28" spans="1:4" x14ac:dyDescent="0.35">
      <c r="A28" s="15" t="s">
        <v>64</v>
      </c>
      <c r="B28" s="16">
        <v>5771.59</v>
      </c>
    </row>
    <row r="29" spans="1:4" x14ac:dyDescent="0.35">
      <c r="A29" s="15" t="s">
        <v>77</v>
      </c>
      <c r="B29" s="16">
        <v>195217.75999999998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DF83A-49EA-4FED-9A85-2D644F9FDCCF}">
  <dimension ref="A3:G10"/>
  <sheetViews>
    <sheetView workbookViewId="0">
      <selection activeCell="F15" sqref="F15"/>
    </sheetView>
  </sheetViews>
  <sheetFormatPr defaultRowHeight="14.5" x14ac:dyDescent="0.35"/>
  <cols>
    <col min="1" max="1" width="12.453125" bestFit="1" customWidth="1"/>
    <col min="2" max="2" width="15.6328125" bestFit="1" customWidth="1"/>
    <col min="3" max="5" width="10.26953125" bestFit="1" customWidth="1"/>
    <col min="6" max="6" width="13.7265625" bestFit="1" customWidth="1"/>
    <col min="7" max="7" width="11.26953125" bestFit="1" customWidth="1"/>
  </cols>
  <sheetData>
    <row r="3" spans="1:7" x14ac:dyDescent="0.35">
      <c r="A3" s="14" t="s">
        <v>78</v>
      </c>
      <c r="B3" s="14" t="s">
        <v>109</v>
      </c>
    </row>
    <row r="4" spans="1:7" x14ac:dyDescent="0.35">
      <c r="A4" s="14" t="s">
        <v>76</v>
      </c>
      <c r="B4" t="s">
        <v>12</v>
      </c>
      <c r="C4" t="s">
        <v>15</v>
      </c>
      <c r="D4" t="s">
        <v>21</v>
      </c>
      <c r="E4" t="s">
        <v>27</v>
      </c>
      <c r="F4" t="s">
        <v>39</v>
      </c>
      <c r="G4" t="s">
        <v>77</v>
      </c>
    </row>
    <row r="5" spans="1:7" x14ac:dyDescent="0.35">
      <c r="A5" s="15" t="s">
        <v>34</v>
      </c>
      <c r="B5" s="23">
        <v>11297.150000000001</v>
      </c>
      <c r="C5" s="23">
        <v>12200.26</v>
      </c>
      <c r="D5" s="23">
        <v>6621.24</v>
      </c>
      <c r="E5" s="23">
        <v>4876.96</v>
      </c>
      <c r="F5" s="23">
        <v>8472.7199999999993</v>
      </c>
      <c r="G5" s="23">
        <v>43468.33</v>
      </c>
    </row>
    <row r="6" spans="1:7" x14ac:dyDescent="0.35">
      <c r="A6" s="15" t="s">
        <v>18</v>
      </c>
      <c r="B6" s="23">
        <v>11389.090000000002</v>
      </c>
      <c r="C6" s="23">
        <v>2401.4499999999998</v>
      </c>
      <c r="D6" s="23">
        <v>2869.54</v>
      </c>
      <c r="E6" s="23">
        <v>7592.3399999999992</v>
      </c>
      <c r="F6" s="23">
        <v>8189.2200000000012</v>
      </c>
      <c r="G6" s="23">
        <v>32441.640000000003</v>
      </c>
    </row>
    <row r="7" spans="1:7" x14ac:dyDescent="0.35">
      <c r="A7" s="15" t="s">
        <v>24</v>
      </c>
      <c r="B7" s="23">
        <v>8037.0100000000011</v>
      </c>
      <c r="C7" s="23">
        <v>8422.82</v>
      </c>
      <c r="D7" s="23">
        <v>8191.7099999999991</v>
      </c>
      <c r="E7" s="23">
        <v>6978.08</v>
      </c>
      <c r="F7" s="23">
        <v>3345.8</v>
      </c>
      <c r="G7" s="23">
        <v>34975.420000000006</v>
      </c>
    </row>
    <row r="8" spans="1:7" x14ac:dyDescent="0.35">
      <c r="A8" s="15" t="s">
        <v>20</v>
      </c>
      <c r="B8" s="23">
        <v>9588.0400000000009</v>
      </c>
      <c r="C8" s="23">
        <v>8393.630000000001</v>
      </c>
      <c r="D8" s="23">
        <v>11989.070000000003</v>
      </c>
      <c r="E8" s="23">
        <v>7982.73</v>
      </c>
      <c r="F8" s="23">
        <v>2295.3199999999997</v>
      </c>
      <c r="G8" s="23">
        <v>40248.79</v>
      </c>
    </row>
    <row r="9" spans="1:7" x14ac:dyDescent="0.35">
      <c r="A9" s="15" t="s">
        <v>11</v>
      </c>
      <c r="B9" s="23">
        <v>6691.17</v>
      </c>
      <c r="C9" s="23">
        <v>10509.429999999998</v>
      </c>
      <c r="D9" s="23">
        <v>11372.44</v>
      </c>
      <c r="E9" s="23">
        <v>9182.7800000000007</v>
      </c>
      <c r="F9" s="23">
        <v>6327.76</v>
      </c>
      <c r="G9" s="23">
        <v>44083.58</v>
      </c>
    </row>
    <row r="10" spans="1:7" x14ac:dyDescent="0.35">
      <c r="A10" s="15" t="s">
        <v>77</v>
      </c>
      <c r="B10" s="23">
        <v>47002.460000000006</v>
      </c>
      <c r="C10" s="23">
        <v>41927.589999999997</v>
      </c>
      <c r="D10" s="23">
        <v>41044</v>
      </c>
      <c r="E10" s="23">
        <v>36612.89</v>
      </c>
      <c r="F10" s="23">
        <v>28630.82</v>
      </c>
      <c r="G10" s="23">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8191E-639C-46D0-B173-19AA46B61E3D}">
  <dimension ref="A1:B33"/>
  <sheetViews>
    <sheetView zoomScale="51" workbookViewId="0">
      <selection activeCell="B5" sqref="B5"/>
    </sheetView>
  </sheetViews>
  <sheetFormatPr defaultRowHeight="14.5" x14ac:dyDescent="0.35"/>
  <cols>
    <col min="1" max="1" width="18.453125" bestFit="1" customWidth="1"/>
    <col min="2" max="2" width="16.26953125" bestFit="1" customWidth="1"/>
  </cols>
  <sheetData>
    <row r="1" spans="1:2" x14ac:dyDescent="0.35">
      <c r="A1" s="14" t="s">
        <v>76</v>
      </c>
      <c r="B1" t="s">
        <v>78</v>
      </c>
    </row>
    <row r="2" spans="1:2" x14ac:dyDescent="0.35">
      <c r="A2" s="15" t="s">
        <v>12</v>
      </c>
      <c r="B2" s="16">
        <v>47002.460000000006</v>
      </c>
    </row>
    <row r="3" spans="1:2" x14ac:dyDescent="0.35">
      <c r="A3" s="15" t="s">
        <v>15</v>
      </c>
      <c r="B3" s="16">
        <v>41927.589999999989</v>
      </c>
    </row>
    <row r="4" spans="1:2" x14ac:dyDescent="0.35">
      <c r="A4" s="15" t="s">
        <v>21</v>
      </c>
      <c r="B4" s="16">
        <v>41044.000000000007</v>
      </c>
    </row>
    <row r="5" spans="1:2" x14ac:dyDescent="0.35">
      <c r="A5" s="15" t="s">
        <v>27</v>
      </c>
      <c r="B5" s="16">
        <v>36612.89</v>
      </c>
    </row>
    <row r="6" spans="1:2" x14ac:dyDescent="0.35">
      <c r="A6" s="15" t="s">
        <v>39</v>
      </c>
      <c r="B6" s="16">
        <v>28630.819999999992</v>
      </c>
    </row>
    <row r="7" spans="1:2" x14ac:dyDescent="0.35">
      <c r="A7" s="15" t="s">
        <v>77</v>
      </c>
      <c r="B7" s="16">
        <v>195217.76</v>
      </c>
    </row>
    <row r="13" spans="1:2" x14ac:dyDescent="0.35">
      <c r="A13" s="14" t="s">
        <v>76</v>
      </c>
      <c r="B13" t="s">
        <v>110</v>
      </c>
    </row>
    <row r="14" spans="1:2" x14ac:dyDescent="0.35">
      <c r="A14" s="15" t="s">
        <v>12</v>
      </c>
      <c r="B14" s="16">
        <v>16901.630000000005</v>
      </c>
    </row>
    <row r="15" spans="1:2" x14ac:dyDescent="0.35">
      <c r="A15" s="15" t="s">
        <v>15</v>
      </c>
      <c r="B15" s="16">
        <v>18784.490000000002</v>
      </c>
    </row>
    <row r="16" spans="1:2" x14ac:dyDescent="0.35">
      <c r="A16" s="15" t="s">
        <v>21</v>
      </c>
      <c r="B16" s="16">
        <v>9182.1500000000015</v>
      </c>
    </row>
    <row r="17" spans="1:2" x14ac:dyDescent="0.35">
      <c r="A17" s="15" t="s">
        <v>27</v>
      </c>
      <c r="B17" s="16">
        <v>11579.140000000003</v>
      </c>
    </row>
    <row r="18" spans="1:2" x14ac:dyDescent="0.35">
      <c r="A18" s="15" t="s">
        <v>39</v>
      </c>
      <c r="B18" s="16">
        <v>11839.599999999999</v>
      </c>
    </row>
    <row r="19" spans="1:2" x14ac:dyDescent="0.35">
      <c r="A19" s="15" t="s">
        <v>77</v>
      </c>
      <c r="B19" s="16">
        <v>68287.010000000009</v>
      </c>
    </row>
    <row r="27" spans="1:2" x14ac:dyDescent="0.35">
      <c r="A27" s="14" t="s">
        <v>76</v>
      </c>
      <c r="B27" t="s">
        <v>78</v>
      </c>
    </row>
    <row r="28" spans="1:2" x14ac:dyDescent="0.35">
      <c r="A28" s="15" t="s">
        <v>34</v>
      </c>
      <c r="B28" s="16">
        <v>43468.33</v>
      </c>
    </row>
    <row r="29" spans="1:2" x14ac:dyDescent="0.35">
      <c r="A29" s="15" t="s">
        <v>18</v>
      </c>
      <c r="B29" s="16">
        <v>32441.64</v>
      </c>
    </row>
    <row r="30" spans="1:2" x14ac:dyDescent="0.35">
      <c r="A30" s="15" t="s">
        <v>24</v>
      </c>
      <c r="B30" s="16">
        <v>34975.42</v>
      </c>
    </row>
    <row r="31" spans="1:2" x14ac:dyDescent="0.35">
      <c r="A31" s="15" t="s">
        <v>20</v>
      </c>
      <c r="B31" s="16">
        <v>40248.79</v>
      </c>
    </row>
    <row r="32" spans="1:2" x14ac:dyDescent="0.35">
      <c r="A32" s="15" t="s">
        <v>11</v>
      </c>
      <c r="B32" s="16">
        <v>44083.58</v>
      </c>
    </row>
    <row r="33" spans="1:2" x14ac:dyDescent="0.35">
      <c r="A33" s="15" t="s">
        <v>77</v>
      </c>
      <c r="B33" s="16">
        <v>195217.76</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E8BF5-15AF-4039-AD2C-6337C8A90F46}">
  <dimension ref="A1"/>
  <sheetViews>
    <sheetView showGridLines="0" tabSelected="1" zoomScale="48" workbookViewId="0">
      <selection activeCell="U8" sqref="U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 Anghan</dc:creator>
  <cp:lastModifiedBy>Meet Anghan</cp:lastModifiedBy>
  <cp:lastPrinted>2025-11-18T15:34:17Z</cp:lastPrinted>
  <dcterms:created xsi:type="dcterms:W3CDTF">2025-11-18T10:28:02Z</dcterms:created>
  <dcterms:modified xsi:type="dcterms:W3CDTF">2025-11-18T17:54:30Z</dcterms:modified>
</cp:coreProperties>
</file>